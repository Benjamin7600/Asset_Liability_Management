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jamin\Documents\"/>
    </mc:Choice>
  </mc:AlternateContent>
  <xr:revisionPtr revIDLastSave="0" documentId="8_{6875796C-F141-4C1A-8870-6BDB097CFD47}" xr6:coauthVersionLast="46" xr6:coauthVersionMax="46" xr10:uidLastSave="{00000000-0000-0000-0000-000000000000}"/>
  <bookViews>
    <workbookView xWindow="-120" yWindow="-120" windowWidth="29040" windowHeight="15840" tabRatio="806" firstSheet="1" activeTab="1" xr2:uid="{00000000-000D-0000-FFFF-FFFF00000000}"/>
  </bookViews>
  <sheets>
    <sheet name="Intro" sheetId="1" r:id="rId1"/>
    <sheet name="a6-output" sheetId="175" r:id="rId2"/>
    <sheet name="debuginfo" sheetId="179" r:id="rId3"/>
    <sheet name="IRGBP" sheetId="166" r:id="rId4"/>
    <sheet name="IREUR" sheetId="167" r:id="rId5"/>
    <sheet name="IRUSD" sheetId="168" r:id="rId6"/>
    <sheet name="IRCAD" sheetId="169" r:id="rId7"/>
    <sheet name="IRJPY" sheetId="170" r:id="rId8"/>
    <sheet name="IRHKD" sheetId="171" r:id="rId9"/>
    <sheet name="IRAUD" sheetId="173" r:id="rId10"/>
    <sheet name="SpotFX" sheetId="174" r:id="rId11"/>
    <sheet name="bondmkt" sheetId="178" r:id="rId12"/>
    <sheet name="bucketinfo" sheetId="177" r:id="rId13"/>
    <sheet name="Table1" sheetId="162" r:id="rId14"/>
    <sheet name="Shortlisted Securities" sheetId="160" state="hidden" r:id="rId15"/>
    <sheet name="BS1" sheetId="156" r:id="rId16"/>
    <sheet name="BS2" sheetId="163" r:id="rId17"/>
    <sheet name="BS3" sheetId="164" r:id="rId18"/>
    <sheet name="Data" sheetId="165" r:id="rId19"/>
  </sheets>
  <functionGroups builtInGroupCount="19"/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nm._FilterDatabase" localSheetId="11" hidden="1">bondmkt!$A$1:$Q$266</definedName>
    <definedName name="bb">[1]Data!$E$2:$E$5</definedName>
    <definedName name="bs" localSheetId="12">[2]Data!#REF!</definedName>
    <definedName name="bs" localSheetId="7">[3]Data!$E$2:$E$5</definedName>
    <definedName name="bs">[4]Data!#REF!</definedName>
    <definedName name="cflow1" localSheetId="12">#REF!</definedName>
    <definedName name="cflow1">#REF!</definedName>
    <definedName name="cflow2" localSheetId="12">#REF!</definedName>
    <definedName name="cflow2">#REF!</definedName>
    <definedName name="CIQWBGuid" hidden="1">"c439e9a4-f0ff-4838-af99-65d207d67fcd"</definedName>
    <definedName name="ComRate" localSheetId="11">[5]Lookup!$F$5:$G$7</definedName>
    <definedName name="ComRate">[6]Lookup!$F$5:$G$7</definedName>
    <definedName name="curr" localSheetId="11">#REF!</definedName>
    <definedName name="curr" localSheetId="12">#REF!</definedName>
    <definedName name="curr">Table1!$A$1:$V$1</definedName>
    <definedName name="DateInput" localSheetId="11">#REF!</definedName>
    <definedName name="DateInput" localSheetId="12">#REF!</definedName>
    <definedName name="DateInput">#REF!</definedName>
    <definedName name="DCB" localSheetId="11">[7]MCScenario!#REF!</definedName>
    <definedName name="DCB" localSheetId="12">[2]MCScenario!#REF!</definedName>
    <definedName name="DCB">[7]MCScenario!#REF!</definedName>
    <definedName name="dvec" localSheetId="11">#REF!</definedName>
    <definedName name="dvec" localSheetId="12">#REF!</definedName>
    <definedName name="dvec">#REF!</definedName>
    <definedName name="Index" localSheetId="11">[5]Beta!$C$5:$C$64</definedName>
    <definedName name="Index">[6]Beta!$C$5:$C$64</definedName>
    <definedName name="invA" localSheetId="11">[5]MatDef!$I$17:$K$19</definedName>
    <definedName name="invA">[6]MatDef!$I$17:$K$19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"03/26/2020 23:58:26"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ID" localSheetId="11">bondmkt!$G$2:$G$266</definedName>
    <definedName name="ISSUEID">[2]bondmkt!$G$2:$G$266</definedName>
    <definedName name="lookup" localSheetId="11">#REF!</definedName>
    <definedName name="lookup" localSheetId="12">#REF!</definedName>
    <definedName name="lookup">#REF!</definedName>
    <definedName name="regoutput" localSheetId="11">[5]Beta!$E$8:$M$28</definedName>
    <definedName name="regoutput">[6]Beta!$E$8:$M$28</definedName>
    <definedName name="SessionDate" localSheetId="11">[8]Intro!$F$5</definedName>
    <definedName name="SessionDate" localSheetId="12">#REF!</definedName>
    <definedName name="SessionDate">Intro!$F$5</definedName>
    <definedName name="SessionDate_1">[9]Intro!$F$5</definedName>
    <definedName name="ShareA" localSheetId="11">[5]Beta!$B$5:$B$64</definedName>
    <definedName name="ShareA">[6]Beta!$B$5:$B$64</definedName>
    <definedName name="spotCAD" localSheetId="11">#REF!</definedName>
    <definedName name="spotCAD" localSheetId="12">#REF!</definedName>
    <definedName name="spotCAD">#REF!</definedName>
    <definedName name="spotEUR" localSheetId="12">#REF!</definedName>
    <definedName name="spotEUR">#REF!</definedName>
    <definedName name="spotGBP" localSheetId="12">#REF!</definedName>
    <definedName name="spotGBP">#REF!</definedName>
    <definedName name="spotHKD" localSheetId="12">#REF!</definedName>
    <definedName name="spotHKD">#REF!</definedName>
    <definedName name="spotTWD" localSheetId="12">#REF!</definedName>
    <definedName name="spotTWD">#REF!</definedName>
    <definedName name="table1" localSheetId="11">#REF!</definedName>
    <definedName name="table1" localSheetId="12">#REF!</definedName>
    <definedName name="table1">Table1!$A$1:$V$4</definedName>
    <definedName name="Y" localSheetId="11">[5]MatDef!$C$21:$C$23</definedName>
    <definedName name="Y">[6]MatDef!$C$21:$C$23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178" l="1"/>
  <c r="D16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tc={08F59D8E-41EC-D943-96EC-2138ADC187ED}</author>
    <author>tc={A77F3906-6CAA-7C4F-964E-26CFB09857F9}</author>
  </authors>
  <commentList>
    <comment ref="B3" authorId="0" shapeId="0" xr:uid="{08F59D8E-41EC-D943-96EC-2138ADC187E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allow user to choose a simulation date
</t>
      </text>
    </comment>
    <comment ref="I6" authorId="1" shapeId="0" xr:uid="{A77F3906-6CAA-7C4F-964E-26CFB09857F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reporting currency may change in balance sheet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AC291648-6296-1341-AFFC-FB4B1CAA4671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D366C3B0-C692-F441-93A5-0CEA59FFE289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6DC1C1AD-266A-A248-80AC-642D14CC66C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1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Issuer's name, the corresponding id is ORG_ID. Issuer is the counterparty you do business with.</t>
        </r>
      </text>
    </comment>
    <comment ref="B1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Market treaded instrument type. Can be either Fixed Rate Bond or Floating Rate Note.</t>
        </r>
      </text>
    </comment>
    <comment ref="C1" authorId="0" shapeId="0" xr:uid="{00000000-0006-0000-0A00-000003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Rating of bond.</t>
        </r>
      </text>
    </comment>
    <comment ref="D1" authorId="0" shapeId="0" xr:uid="{00000000-0006-0000-0A00-000004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Seniority class.</t>
        </r>
      </text>
    </comment>
    <comment ref="E1" authorId="0" shapeId="0" xr:uid="{00000000-0006-0000-0A00-000005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Instrument cash flow currency symbol.</t>
        </r>
      </text>
    </comment>
    <comment ref="F1" authorId="0" shapeId="0" xr:uid="{00000000-0006-0000-0A00-000006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Principal amount in million.</t>
        </r>
      </text>
    </comment>
    <comment ref="G1" authorId="0" shapeId="0" xr:uid="{00000000-0006-0000-0A00-000007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Instrument id.</t>
        </r>
      </text>
    </comment>
    <comment ref="H1" authorId="0" shapeId="0" xr:uid="{00000000-0006-0000-0A00-000008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Country of the issuer</t>
        </r>
      </text>
    </comment>
    <comment ref="I1" authorId="0" shapeId="0" xr:uid="{00000000-0006-0000-0A00-000009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Counterparty id</t>
        </r>
      </text>
    </comment>
    <comment ref="J1" authorId="0" shapeId="0" xr:uid="{00000000-0006-0000-0A00-00000A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Number of days to maturity</t>
        </r>
      </text>
    </comment>
    <comment ref="K1" authorId="0" shapeId="0" xr:uid="{00000000-0006-0000-0A00-00000B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Maturity Date</t>
        </r>
      </text>
    </comment>
    <comment ref="L1" authorId="0" shapeId="0" xr:uid="{00000000-0006-0000-0A00-00000C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Fixed coupon rate with unit.</t>
        </r>
      </text>
    </comment>
    <comment ref="M1" authorId="0" shapeId="0" xr:uid="{00000000-0006-0000-0A00-00000D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Coupon payment term</t>
        </r>
      </text>
    </comment>
    <comment ref="N1" authorId="0" shapeId="0" xr:uid="{00000000-0006-0000-0A00-00000E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Domestic discount curve used to calculate present value or generating floating cashflow.</t>
        </r>
      </text>
    </comment>
    <comment ref="O1" authorId="0" shapeId="0" xr:uid="{00000000-0006-0000-0A00-00000F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Bond spread. Usually, used as scalar, no unit.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0000000-0006-0000-0B00-000001000000}">
      <text>
        <r>
          <rPr>
            <b/>
            <sz val="8"/>
            <color rgb="FF000000"/>
            <rFont val="Tahoma"/>
            <family val="2"/>
          </rPr>
          <t>Admin: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own bank reporting currency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60D151FA-7DBF-9649-BAD7-AC21828F2F9A}">
      <text>
        <r>
          <rPr>
            <b/>
            <sz val="8"/>
            <color rgb="FF000000"/>
            <rFont val="Tahoma"/>
            <family val="2"/>
          </rPr>
          <t>Admin: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own bank reporting currency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7A31E394-16DB-364E-BA1F-C0D6E035CBCA}">
      <text>
        <r>
          <rPr>
            <b/>
            <sz val="8"/>
            <color rgb="FF000000"/>
            <rFont val="Tahoma"/>
            <family val="2"/>
          </rPr>
          <t>Admin: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own bank reporting currency</t>
        </r>
      </text>
    </comment>
  </commentList>
</comments>
</file>

<file path=xl/sharedStrings.xml><?xml version="1.0" encoding="utf-8"?>
<sst xmlns="http://schemas.openxmlformats.org/spreadsheetml/2006/main" count="3907" uniqueCount="863">
  <si>
    <t>B</t>
  </si>
  <si>
    <t>Name</t>
  </si>
  <si>
    <t>IRCAD</t>
  </si>
  <si>
    <t>Interpolate Term</t>
  </si>
  <si>
    <t>@Linear()</t>
  </si>
  <si>
    <t>ID</t>
  </si>
  <si>
    <t>Curve Unit</t>
  </si>
  <si>
    <t>Type</t>
  </si>
  <si>
    <t>Zero</t>
  </si>
  <si>
    <t>RiskMetrics Link</t>
  </si>
  <si>
    <t xml:space="preserve">Origin </t>
  </si>
  <si>
    <t>Term/Time</t>
  </si>
  <si>
    <t>Fixed Rate Bond</t>
  </si>
  <si>
    <t>Currency</t>
  </si>
  <si>
    <t>USD</t>
  </si>
  <si>
    <t>IRUSD</t>
  </si>
  <si>
    <t>Floating Rate Note</t>
  </si>
  <si>
    <t>SMP actual/365</t>
  </si>
  <si>
    <t>Origin</t>
  </si>
  <si>
    <t>0.05 SMP actual/365</t>
  </si>
  <si>
    <t>1 months</t>
  </si>
  <si>
    <t>3 months</t>
  </si>
  <si>
    <t>6 months</t>
  </si>
  <si>
    <t>Asset:</t>
  </si>
  <si>
    <t>Units</t>
  </si>
  <si>
    <t>Liability:</t>
  </si>
  <si>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</si>
  <si>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</si>
  <si>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</si>
  <si>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</si>
  <si>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</si>
  <si>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</si>
  <si>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</si>
  <si>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</si>
  <si>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</si>
  <si>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</si>
  <si>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</si>
  <si>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</si>
  <si>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</si>
  <si>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</si>
  <si>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</si>
  <si>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24 Hour Fitness Worldwide Inc.</t>
  </si>
  <si>
    <t>2</t>
  </si>
  <si>
    <t>600</t>
  </si>
  <si>
    <t>724002</t>
  </si>
  <si>
    <t>United States</t>
  </si>
  <si>
    <t>318828</t>
  </si>
  <si>
    <t>100</t>
  </si>
  <si>
    <t>724000</t>
  </si>
  <si>
    <t>75</t>
  </si>
  <si>
    <t>1117061</t>
  </si>
  <si>
    <t>1117062</t>
  </si>
  <si>
    <t>1 years</t>
  </si>
  <si>
    <t>ABB Ltd.</t>
  </si>
  <si>
    <t>3</t>
  </si>
  <si>
    <t>2000</t>
  </si>
  <si>
    <t>734304</t>
  </si>
  <si>
    <t>Switzerland</t>
  </si>
  <si>
    <t>338326</t>
  </si>
  <si>
    <t>Abertis Infraestructuras S.A.</t>
  </si>
  <si>
    <t>4</t>
  </si>
  <si>
    <t>EUR</t>
  </si>
  <si>
    <t>786939</t>
  </si>
  <si>
    <t>Spain</t>
  </si>
  <si>
    <t>381633</t>
  </si>
  <si>
    <t>Accellent Inc.</t>
  </si>
  <si>
    <t>1</t>
  </si>
  <si>
    <t>1101216</t>
  </si>
  <si>
    <t>353208</t>
  </si>
  <si>
    <t>ACCO Brands Corp.</t>
  </si>
  <si>
    <t>130</t>
  </si>
  <si>
    <t>730197</t>
  </si>
  <si>
    <t>390587</t>
  </si>
  <si>
    <t>ACE Cash Express Inc.</t>
  </si>
  <si>
    <t>155</t>
  </si>
  <si>
    <t>795432</t>
  </si>
  <si>
    <t>378408</t>
  </si>
  <si>
    <t>ACP/BREL UK Acquisition Limited</t>
  </si>
  <si>
    <t>5</t>
  </si>
  <si>
    <t>826686</t>
  </si>
  <si>
    <t>United Kingdom</t>
  </si>
  <si>
    <t>414865</t>
  </si>
  <si>
    <t>40</t>
  </si>
  <si>
    <t>826691</t>
  </si>
  <si>
    <t>Activant Solutions Inc.</t>
  </si>
  <si>
    <t>772536</t>
  </si>
  <si>
    <t>320277</t>
  </si>
  <si>
    <t>465</t>
  </si>
  <si>
    <t>772537</t>
  </si>
  <si>
    <t>Acument Global Technologies, Inc.</t>
  </si>
  <si>
    <t>325</t>
  </si>
  <si>
    <t>786906</t>
  </si>
  <si>
    <t>402864</t>
  </si>
  <si>
    <t>Acxiom Corp.</t>
  </si>
  <si>
    <t>80</t>
  </si>
  <si>
    <t>794650</t>
  </si>
  <si>
    <t>321550</t>
  </si>
  <si>
    <t>78</t>
  </si>
  <si>
    <t>794659</t>
  </si>
  <si>
    <t>120</t>
  </si>
  <si>
    <t>1093932</t>
  </si>
  <si>
    <t>372</t>
  </si>
  <si>
    <t>1093933</t>
  </si>
  <si>
    <t>Advance Food Co.</t>
  </si>
  <si>
    <t>821549</t>
  </si>
  <si>
    <t>413098</t>
  </si>
  <si>
    <t>175</t>
  </si>
  <si>
    <t>821552</t>
  </si>
  <si>
    <t>50</t>
  </si>
  <si>
    <t>821553</t>
  </si>
  <si>
    <t>6</t>
  </si>
  <si>
    <t>821554</t>
  </si>
  <si>
    <t>Advanced Disposal Services Inc.</t>
  </si>
  <si>
    <t>250</t>
  </si>
  <si>
    <t>1097191</t>
  </si>
  <si>
    <t>481160</t>
  </si>
  <si>
    <t>150</t>
  </si>
  <si>
    <t>1097192</t>
  </si>
  <si>
    <t>Advanced Homecare Holdings Inc. d/b/a Encompass Home Health Inc.</t>
  </si>
  <si>
    <t>25</t>
  </si>
  <si>
    <t>849949</t>
  </si>
  <si>
    <t>422411</t>
  </si>
  <si>
    <t>107</t>
  </si>
  <si>
    <t>849952</t>
  </si>
  <si>
    <t>29</t>
  </si>
  <si>
    <t>849960</t>
  </si>
  <si>
    <t>Advanstar Communications Inc.</t>
  </si>
  <si>
    <t>515</t>
  </si>
  <si>
    <t>834825</t>
  </si>
  <si>
    <t>111482</t>
  </si>
  <si>
    <t>AECO Gas Storage LP</t>
  </si>
  <si>
    <t>780507</t>
  </si>
  <si>
    <t>Canada</t>
  </si>
  <si>
    <t>401500</t>
  </si>
  <si>
    <t>200</t>
  </si>
  <si>
    <t>1122471</t>
  </si>
  <si>
    <t>AEI</t>
  </si>
  <si>
    <t>BB</t>
  </si>
  <si>
    <t>395</t>
  </si>
  <si>
    <t>821477</t>
  </si>
  <si>
    <t>Cayman Islands</t>
  </si>
  <si>
    <t>412951</t>
  </si>
  <si>
    <t>936</t>
  </si>
  <si>
    <t>821481</t>
  </si>
  <si>
    <t>105</t>
  </si>
  <si>
    <t>827929</t>
  </si>
  <si>
    <t>Aeroflex Inc.</t>
  </si>
  <si>
    <t>863811</t>
  </si>
  <si>
    <t>417533</t>
  </si>
  <si>
    <t>400</t>
  </si>
  <si>
    <t>863814</t>
  </si>
  <si>
    <t>125</t>
  </si>
  <si>
    <t>863816</t>
  </si>
  <si>
    <t>Aeroporti di Roma SpA</t>
  </si>
  <si>
    <t>170</t>
  </si>
  <si>
    <t>745466</t>
  </si>
  <si>
    <t>Italy</t>
  </si>
  <si>
    <t>352774</t>
  </si>
  <si>
    <t>745467</t>
  </si>
  <si>
    <t>39</t>
  </si>
  <si>
    <t>621602</t>
  </si>
  <si>
    <t>AES Eastern Energy L.P.</t>
  </si>
  <si>
    <t>883693</t>
  </si>
  <si>
    <t>333919</t>
  </si>
  <si>
    <t>Affinion Group Holdings Inc.</t>
  </si>
  <si>
    <t>350</t>
  </si>
  <si>
    <t>817311</t>
  </si>
  <si>
    <t>412258</t>
  </si>
  <si>
    <t>Affinion Group Inc.</t>
  </si>
  <si>
    <t>743824</t>
  </si>
  <si>
    <t>393073</t>
  </si>
  <si>
    <t>860</t>
  </si>
  <si>
    <t>743826</t>
  </si>
  <si>
    <t>875</t>
  </si>
  <si>
    <t>1115650</t>
  </si>
  <si>
    <t>1115651</t>
  </si>
  <si>
    <t>Affinity Group Inc.</t>
  </si>
  <si>
    <t>144</t>
  </si>
  <si>
    <t>1120951</t>
  </si>
  <si>
    <t>127228</t>
  </si>
  <si>
    <t xml:space="preserve">AGA Medical Corp. </t>
  </si>
  <si>
    <t>769953</t>
  </si>
  <si>
    <t>398680</t>
  </si>
  <si>
    <t>215</t>
  </si>
  <si>
    <t>769959</t>
  </si>
  <si>
    <t>AGL Energy</t>
  </si>
  <si>
    <t>BBB</t>
  </si>
  <si>
    <t>1066029</t>
  </si>
  <si>
    <t>Australia</t>
  </si>
  <si>
    <t>406961</t>
  </si>
  <si>
    <t>1066030</t>
  </si>
  <si>
    <t>AGS LLC</t>
  </si>
  <si>
    <t>20</t>
  </si>
  <si>
    <t>832708</t>
  </si>
  <si>
    <t>416049</t>
  </si>
  <si>
    <t>832712</t>
  </si>
  <si>
    <t>30</t>
  </si>
  <si>
    <t>832714</t>
  </si>
  <si>
    <t>Ainsworth Lumber Co. Ltd.</t>
  </si>
  <si>
    <t>103</t>
  </si>
  <si>
    <t>843166</t>
  </si>
  <si>
    <t>315229</t>
  </si>
  <si>
    <t>Ajman Sewerage (Private) Co. Ltd.</t>
  </si>
  <si>
    <t>765636</t>
  </si>
  <si>
    <t>United Arab Emirates</t>
  </si>
  <si>
    <t>397987</t>
  </si>
  <si>
    <t>Akzo Nobel N.V.</t>
  </si>
  <si>
    <t>1500</t>
  </si>
  <si>
    <t>783373</t>
  </si>
  <si>
    <t>Netherlands</t>
  </si>
  <si>
    <t>108518</t>
  </si>
  <si>
    <t>Alaska Communications Systems Holdings Inc.</t>
  </si>
  <si>
    <t>45</t>
  </si>
  <si>
    <t>700172</t>
  </si>
  <si>
    <t>333937</t>
  </si>
  <si>
    <t>427</t>
  </si>
  <si>
    <t>700174</t>
  </si>
  <si>
    <t>1400</t>
  </si>
  <si>
    <t>831934</t>
  </si>
  <si>
    <t>France</t>
  </si>
  <si>
    <t>118851</t>
  </si>
  <si>
    <t>Aleris International Inc.</t>
  </si>
  <si>
    <t>D</t>
  </si>
  <si>
    <t>825</t>
  </si>
  <si>
    <t>808678</t>
  </si>
  <si>
    <t>373749</t>
  </si>
  <si>
    <t>Alion Science and Technology Corp.</t>
  </si>
  <si>
    <t>237</t>
  </si>
  <si>
    <t>674848</t>
  </si>
  <si>
    <t>380131</t>
  </si>
  <si>
    <t>1110744</t>
  </si>
  <si>
    <t>AlixPartners LLP</t>
  </si>
  <si>
    <t>795611</t>
  </si>
  <si>
    <t>405823</t>
  </si>
  <si>
    <t>385</t>
  </si>
  <si>
    <t>795613</t>
  </si>
  <si>
    <t>Allegheny Energy Inc.</t>
  </si>
  <si>
    <t>1034883</t>
  </si>
  <si>
    <t>100039</t>
  </si>
  <si>
    <t>Allegheny Energy Supply Co. LLC</t>
  </si>
  <si>
    <t>773908</t>
  </si>
  <si>
    <t>342352</t>
  </si>
  <si>
    <t>767</t>
  </si>
  <si>
    <t>773922</t>
  </si>
  <si>
    <t>1000</t>
  </si>
  <si>
    <t>1083051</t>
  </si>
  <si>
    <t>Allen Systems Group Inc.</t>
  </si>
  <si>
    <t>260</t>
  </si>
  <si>
    <t>1088745</t>
  </si>
  <si>
    <t>364977</t>
  </si>
  <si>
    <t>95</t>
  </si>
  <si>
    <t>1088746</t>
  </si>
  <si>
    <t>Alliance HealthCare Services</t>
  </si>
  <si>
    <t>390</t>
  </si>
  <si>
    <t>696645</t>
  </si>
  <si>
    <t>110148</t>
  </si>
  <si>
    <t>55</t>
  </si>
  <si>
    <t>696646</t>
  </si>
  <si>
    <t>1092656</t>
  </si>
  <si>
    <t>450</t>
  </si>
  <si>
    <t>1092658</t>
  </si>
  <si>
    <t>Alliance Laundry Systems LLC</t>
  </si>
  <si>
    <t>699803</t>
  </si>
  <si>
    <t>322403</t>
  </si>
  <si>
    <t>699804</t>
  </si>
  <si>
    <t>Alliance One International Inc.</t>
  </si>
  <si>
    <t>270</t>
  </si>
  <si>
    <t>1067339</t>
  </si>
  <si>
    <t>117344</t>
  </si>
  <si>
    <t>Alliant Holdings I, Inc.</t>
  </si>
  <si>
    <t>60</t>
  </si>
  <si>
    <t>848525</t>
  </si>
  <si>
    <t>380814</t>
  </si>
  <si>
    <t>848529</t>
  </si>
  <si>
    <t>1063117</t>
  </si>
  <si>
    <t>Alliant Techsystems Inc.</t>
  </si>
  <si>
    <t>500</t>
  </si>
  <si>
    <t>825399</t>
  </si>
  <si>
    <t>130533</t>
  </si>
  <si>
    <t>275</t>
  </si>
  <si>
    <t>825404</t>
  </si>
  <si>
    <t>Allied Security Holdings LLC</t>
  </si>
  <si>
    <t>1024970</t>
  </si>
  <si>
    <t>379980</t>
  </si>
  <si>
    <t>330</t>
  </si>
  <si>
    <t>1024986</t>
  </si>
  <si>
    <t>Allison Transmission Inc.</t>
  </si>
  <si>
    <t>849238</t>
  </si>
  <si>
    <t>421702</t>
  </si>
  <si>
    <t>3100</t>
  </si>
  <si>
    <t>849241</t>
  </si>
  <si>
    <t>Alon USA Energy Inc.</t>
  </si>
  <si>
    <t>776965</t>
  </si>
  <si>
    <t>357877</t>
  </si>
  <si>
    <t>Alpha Schools (Highland) Project PLC</t>
  </si>
  <si>
    <t>GBP</t>
  </si>
  <si>
    <t>754488</t>
  </si>
  <si>
    <t>395534</t>
  </si>
  <si>
    <t>Altegrity, Inc.</t>
  </si>
  <si>
    <t>827</t>
  </si>
  <si>
    <t>855580</t>
  </si>
  <si>
    <t>367193</t>
  </si>
  <si>
    <t>90</t>
  </si>
  <si>
    <t>855581</t>
  </si>
  <si>
    <t>Aluma Systems Inc.</t>
  </si>
  <si>
    <t>180</t>
  </si>
  <si>
    <t>819704</t>
  </si>
  <si>
    <t>412886</t>
  </si>
  <si>
    <t>Alumina Ltd.</t>
  </si>
  <si>
    <t>836571</t>
  </si>
  <si>
    <t>366634</t>
  </si>
  <si>
    <t>700</t>
  </si>
  <si>
    <t>788173</t>
  </si>
  <si>
    <t>1018363</t>
  </si>
  <si>
    <t>AMC Entertainment Holdings Inc.</t>
  </si>
  <si>
    <t>841627</t>
  </si>
  <si>
    <t>419281</t>
  </si>
  <si>
    <t>AMC Entertainment Inc.</t>
  </si>
  <si>
    <t>758934</t>
  </si>
  <si>
    <t>107291</t>
  </si>
  <si>
    <t>650</t>
  </si>
  <si>
    <t>758935</t>
  </si>
  <si>
    <t>Amcor Finance (USA) Inc.</t>
  </si>
  <si>
    <t>425</t>
  </si>
  <si>
    <t>1109328</t>
  </si>
  <si>
    <t>302668</t>
  </si>
  <si>
    <t>341</t>
  </si>
  <si>
    <t>174</t>
  </si>
  <si>
    <t>Amcor Ltd.</t>
  </si>
  <si>
    <t>750</t>
  </si>
  <si>
    <t>783164</t>
  </si>
  <si>
    <t>113907</t>
  </si>
  <si>
    <t>783167</t>
  </si>
  <si>
    <t>Amcor UK Finance Ltd.</t>
  </si>
  <si>
    <t>481528</t>
  </si>
  <si>
    <t>AmerCable Inc.</t>
  </si>
  <si>
    <t>845095</t>
  </si>
  <si>
    <t>420019</t>
  </si>
  <si>
    <t>15</t>
  </si>
  <si>
    <t>849240</t>
  </si>
  <si>
    <t>Ameren Corp.</t>
  </si>
  <si>
    <t>1150</t>
  </si>
  <si>
    <t>732822</t>
  </si>
  <si>
    <t>319785</t>
  </si>
  <si>
    <t>American Achievement Corp.</t>
  </si>
  <si>
    <t>656115</t>
  </si>
  <si>
    <t>359927</t>
  </si>
  <si>
    <t>656120</t>
  </si>
  <si>
    <t>American Greetings Corp.</t>
  </si>
  <si>
    <t>771780</t>
  </si>
  <si>
    <t>100086</t>
  </si>
  <si>
    <t>771781</t>
  </si>
  <si>
    <t>American Media Operations Inc.</t>
  </si>
  <si>
    <t>759953</t>
  </si>
  <si>
    <t>114327</t>
  </si>
  <si>
    <t>65</t>
  </si>
  <si>
    <t>CCC</t>
  </si>
  <si>
    <t>136</t>
  </si>
  <si>
    <t>110</t>
  </si>
  <si>
    <t>375</t>
  </si>
  <si>
    <t>300</t>
  </si>
  <si>
    <t>550</t>
  </si>
  <si>
    <t>255</t>
  </si>
  <si>
    <t>219</t>
  </si>
  <si>
    <t>AAA</t>
  </si>
  <si>
    <t>115</t>
  </si>
  <si>
    <t>220</t>
  </si>
  <si>
    <t>280</t>
  </si>
  <si>
    <t>525</t>
  </si>
  <si>
    <t>3000</t>
  </si>
  <si>
    <t>CAD</t>
  </si>
  <si>
    <t>22</t>
  </si>
  <si>
    <t>CC</t>
  </si>
  <si>
    <t>102</t>
  </si>
  <si>
    <t>Germany</t>
  </si>
  <si>
    <t>109</t>
  </si>
  <si>
    <t>128</t>
  </si>
  <si>
    <t>285</t>
  </si>
  <si>
    <t>161</t>
  </si>
  <si>
    <t>675</t>
  </si>
  <si>
    <t>160</t>
  </si>
  <si>
    <t>295</t>
  </si>
  <si>
    <t>37</t>
  </si>
  <si>
    <t>1091913</t>
  </si>
  <si>
    <t>246</t>
  </si>
  <si>
    <t>135</t>
  </si>
  <si>
    <t>1300</t>
  </si>
  <si>
    <t>335</t>
  </si>
  <si>
    <t>1850</t>
  </si>
  <si>
    <t>575</t>
  </si>
  <si>
    <t>520</t>
  </si>
  <si>
    <t>23</t>
  </si>
  <si>
    <t>48</t>
  </si>
  <si>
    <t>Itron Inc.</t>
  </si>
  <si>
    <t>826175</t>
  </si>
  <si>
    <t>374381</t>
  </si>
  <si>
    <t>826176</t>
  </si>
  <si>
    <t>826177</t>
  </si>
  <si>
    <t>605</t>
  </si>
  <si>
    <t>826178</t>
  </si>
  <si>
    <t>Ivy Hill Corp.</t>
  </si>
  <si>
    <t>106</t>
  </si>
  <si>
    <t>776538</t>
  </si>
  <si>
    <t>400550</t>
  </si>
  <si>
    <t>J. Crew Operating Corp.</t>
  </si>
  <si>
    <t>774332</t>
  </si>
  <si>
    <t>399885</t>
  </si>
  <si>
    <t>Jack in the Box Inc.</t>
  </si>
  <si>
    <t>809751</t>
  </si>
  <si>
    <t>111625</t>
  </si>
  <si>
    <t>475</t>
  </si>
  <si>
    <t>809754</t>
  </si>
  <si>
    <t>Jacobs Entertainment Inc.</t>
  </si>
  <si>
    <t>776630</t>
  </si>
  <si>
    <t>359495</t>
  </si>
  <si>
    <t>776632</t>
  </si>
  <si>
    <t>776633</t>
  </si>
  <si>
    <t>Jacuzzi Brands Corp.</t>
  </si>
  <si>
    <t>818413</t>
  </si>
  <si>
    <t>412666</t>
  </si>
  <si>
    <t>818415</t>
  </si>
  <si>
    <t>Janus Capital Group Inc.</t>
  </si>
  <si>
    <t>843845</t>
  </si>
  <si>
    <t>352137</t>
  </si>
  <si>
    <t>Jarden Corp.</t>
  </si>
  <si>
    <t>373</t>
  </si>
  <si>
    <t>687637</t>
  </si>
  <si>
    <t>361152</t>
  </si>
  <si>
    <t>1081513</t>
  </si>
  <si>
    <t>1081514</t>
  </si>
  <si>
    <t>274</t>
  </si>
  <si>
    <t>1081515</t>
  </si>
  <si>
    <t>JHCI Acquisition Inc.</t>
  </si>
  <si>
    <t>839256</t>
  </si>
  <si>
    <t>418462</t>
  </si>
  <si>
    <t>839272</t>
  </si>
  <si>
    <t>839274</t>
  </si>
  <si>
    <t>John Fairfax Publications Pty Ltd.</t>
  </si>
  <si>
    <t>423</t>
  </si>
  <si>
    <t>1060706</t>
  </si>
  <si>
    <t>375821</t>
  </si>
  <si>
    <t>389</t>
  </si>
  <si>
    <t>John Henry Holdings Inc.</t>
  </si>
  <si>
    <t>768784</t>
  </si>
  <si>
    <t>398653</t>
  </si>
  <si>
    <t>768918</t>
  </si>
  <si>
    <t>768945</t>
  </si>
  <si>
    <t>1116020</t>
  </si>
  <si>
    <t>1116021</t>
  </si>
  <si>
    <t>John Maneely Co.</t>
  </si>
  <si>
    <t>804774</t>
  </si>
  <si>
    <t>398083</t>
  </si>
  <si>
    <t>804797</t>
  </si>
  <si>
    <t>Johnson Diversey Netherlands II B.V.</t>
  </si>
  <si>
    <t>1091909</t>
  </si>
  <si>
    <t>479709</t>
  </si>
  <si>
    <t>JohnsonDiversey Canada Inc.</t>
  </si>
  <si>
    <t>1091906</t>
  </si>
  <si>
    <t>479711</t>
  </si>
  <si>
    <t>1064701</t>
  </si>
  <si>
    <t>465422</t>
  </si>
  <si>
    <t>1064702</t>
  </si>
  <si>
    <t>1064703</t>
  </si>
  <si>
    <t>Kansas City Southern Railway Co.</t>
  </si>
  <si>
    <t>836254</t>
  </si>
  <si>
    <t>101277</t>
  </si>
  <si>
    <t>774361</t>
  </si>
  <si>
    <t>774364</t>
  </si>
  <si>
    <t>KAR Auction Services Inc.</t>
  </si>
  <si>
    <t>826923</t>
  </si>
  <si>
    <t>414621</t>
  </si>
  <si>
    <t>1248</t>
  </si>
  <si>
    <t>826926</t>
  </si>
  <si>
    <t>Kazakh Agrarian Credit Corp.</t>
  </si>
  <si>
    <t>899681</t>
  </si>
  <si>
    <t>Kazakhstan</t>
  </si>
  <si>
    <t>407253</t>
  </si>
  <si>
    <t>Kazakhstan Electricity Grid Operating Co. (JSC)</t>
  </si>
  <si>
    <t>1017619</t>
  </si>
  <si>
    <t>326883</t>
  </si>
  <si>
    <t>1017640</t>
  </si>
  <si>
    <t>1017650</t>
  </si>
  <si>
    <t>1017656</t>
  </si>
  <si>
    <t>Keane International Inc.</t>
  </si>
  <si>
    <t>830892</t>
  </si>
  <si>
    <t>416099</t>
  </si>
  <si>
    <t>830893</t>
  </si>
  <si>
    <t>830894</t>
  </si>
  <si>
    <t>Kerasotes Showplace Theatres LLC</t>
  </si>
  <si>
    <t>742461</t>
  </si>
  <si>
    <t>382230</t>
  </si>
  <si>
    <t>742462</t>
  </si>
  <si>
    <t>Kerling PLC</t>
  </si>
  <si>
    <t>1099594</t>
  </si>
  <si>
    <t>480048</t>
  </si>
  <si>
    <t>Keystone Automotive Operations Inc.</t>
  </si>
  <si>
    <t>809759</t>
  </si>
  <si>
    <t>353571</t>
  </si>
  <si>
    <t>kgb</t>
  </si>
  <si>
    <t>804173</t>
  </si>
  <si>
    <t>402395</t>
  </si>
  <si>
    <t>804176</t>
  </si>
  <si>
    <t>126</t>
  </si>
  <si>
    <t>1122360</t>
  </si>
  <si>
    <t>1013809</t>
  </si>
  <si>
    <t>KGen LLC</t>
  </si>
  <si>
    <t>816952</t>
  </si>
  <si>
    <t>386207</t>
  </si>
  <si>
    <t>816953</t>
  </si>
  <si>
    <t>816954</t>
  </si>
  <si>
    <t>KIK Custom Products Inc.</t>
  </si>
  <si>
    <t>834059</t>
  </si>
  <si>
    <t>417100</t>
  </si>
  <si>
    <t>834073</t>
  </si>
  <si>
    <t>235</t>
  </si>
  <si>
    <t>834074</t>
  </si>
  <si>
    <t>1053779</t>
  </si>
  <si>
    <t>KIK Holdco Co.</t>
  </si>
  <si>
    <t>468500</t>
  </si>
  <si>
    <t>Kinder Morgan Inc.</t>
  </si>
  <si>
    <t>838693</t>
  </si>
  <si>
    <t>101267</t>
  </si>
  <si>
    <t>Kinetek Holdings Corp.</t>
  </si>
  <si>
    <t>800669</t>
  </si>
  <si>
    <t>308491</t>
  </si>
  <si>
    <t>800671</t>
  </si>
  <si>
    <t>800672</t>
  </si>
  <si>
    <t>Kinetic Concepts Inc.</t>
  </si>
  <si>
    <t>898589</t>
  </si>
  <si>
    <t>318076</t>
  </si>
  <si>
    <t>898601</t>
  </si>
  <si>
    <t>King Pharmaceuticals Inc.</t>
  </si>
  <si>
    <t>1032484</t>
  </si>
  <si>
    <t>330208</t>
  </si>
  <si>
    <t>1032485</t>
  </si>
  <si>
    <t>Kingdom of Bahrain</t>
  </si>
  <si>
    <t>584088</t>
  </si>
  <si>
    <t>Bahrain</t>
  </si>
  <si>
    <t>363070</t>
  </si>
  <si>
    <t>584089</t>
  </si>
  <si>
    <t>Knology Inc.</t>
  </si>
  <si>
    <t>820753</t>
  </si>
  <si>
    <t>377041</t>
  </si>
  <si>
    <t>609</t>
  </si>
  <si>
    <t>820755</t>
  </si>
  <si>
    <t>Koosharem Corporation</t>
  </si>
  <si>
    <t>863750</t>
  </si>
  <si>
    <t>401844</t>
  </si>
  <si>
    <t>841641</t>
  </si>
  <si>
    <t>841645</t>
  </si>
  <si>
    <t>841646</t>
  </si>
  <si>
    <t>Kraton Polymers LLC</t>
  </si>
  <si>
    <t>774370</t>
  </si>
  <si>
    <t>348750</t>
  </si>
  <si>
    <t>Krispy Kreme Doughnut Corp.</t>
  </si>
  <si>
    <t>852393</t>
  </si>
  <si>
    <t>423565</t>
  </si>
  <si>
    <t>852394</t>
  </si>
  <si>
    <t>Kroger Co.</t>
  </si>
  <si>
    <t>2500</t>
  </si>
  <si>
    <t>808707</t>
  </si>
  <si>
    <t>101323</t>
  </si>
  <si>
    <t>Kronos Inc.</t>
  </si>
  <si>
    <t>835700</t>
  </si>
  <si>
    <t>417542</t>
  </si>
  <si>
    <t>835698</t>
  </si>
  <si>
    <t>355</t>
  </si>
  <si>
    <t>835702</t>
  </si>
  <si>
    <t>1100483</t>
  </si>
  <si>
    <t>452279</t>
  </si>
  <si>
    <t>159</t>
  </si>
  <si>
    <t>1021085</t>
  </si>
  <si>
    <t>1021088</t>
  </si>
  <si>
    <t>La Paloma Generating Co. LLC</t>
  </si>
  <si>
    <t>736303</t>
  </si>
  <si>
    <t>391685</t>
  </si>
  <si>
    <t>736307</t>
  </si>
  <si>
    <t>21</t>
  </si>
  <si>
    <t>736308</t>
  </si>
  <si>
    <t>736592</t>
  </si>
  <si>
    <t>736594</t>
  </si>
  <si>
    <t>LabelCorp Holdings Inc.</t>
  </si>
  <si>
    <t>1021229</t>
  </si>
  <si>
    <t>452272</t>
  </si>
  <si>
    <t>1021232</t>
  </si>
  <si>
    <t>1021259</t>
  </si>
  <si>
    <t>1021263</t>
  </si>
  <si>
    <t>Laboratory Corporation of America Holdings</t>
  </si>
  <si>
    <t>863468</t>
  </si>
  <si>
    <t>314930</t>
  </si>
  <si>
    <t>863473</t>
  </si>
  <si>
    <t>Lafarge S.A.</t>
  </si>
  <si>
    <t>691565</t>
  </si>
  <si>
    <t>114880</t>
  </si>
  <si>
    <t>Lamar Media Corp.</t>
  </si>
  <si>
    <t>737695</t>
  </si>
  <si>
    <t>121511</t>
  </si>
  <si>
    <t>737699</t>
  </si>
  <si>
    <t>827924</t>
  </si>
  <si>
    <t>827925</t>
  </si>
  <si>
    <t>827927</t>
  </si>
  <si>
    <t>7</t>
  </si>
  <si>
    <t>827928</t>
  </si>
  <si>
    <t>827930</t>
  </si>
  <si>
    <t>827931</t>
  </si>
  <si>
    <t>1119824</t>
  </si>
  <si>
    <t>1119826</t>
  </si>
  <si>
    <t>1119827</t>
  </si>
  <si>
    <t>Land O'Lakes Inc.</t>
  </si>
  <si>
    <t>1089654</t>
  </si>
  <si>
    <t>103574</t>
  </si>
  <si>
    <t>Landry's Restaurants Inc.</t>
  </si>
  <si>
    <t>1093624</t>
  </si>
  <si>
    <t>382638</t>
  </si>
  <si>
    <t>1093625</t>
  </si>
  <si>
    <t>Language Line LLC</t>
  </si>
  <si>
    <t>1087797</t>
  </si>
  <si>
    <t>478623</t>
  </si>
  <si>
    <t>1087798</t>
  </si>
  <si>
    <t>LANXESS AG</t>
  </si>
  <si>
    <t>871274</t>
  </si>
  <si>
    <t>382904</t>
  </si>
  <si>
    <t>Las Vegas Sands LLC</t>
  </si>
  <si>
    <t>830800</t>
  </si>
  <si>
    <t>318099</t>
  </si>
  <si>
    <t>830792</t>
  </si>
  <si>
    <t>830807</t>
  </si>
  <si>
    <t>830828</t>
  </si>
  <si>
    <t>Laureate Education Inc.</t>
  </si>
  <si>
    <t>850058</t>
  </si>
  <si>
    <t>422319</t>
  </si>
  <si>
    <t>850059</t>
  </si>
  <si>
    <t>850063</t>
  </si>
  <si>
    <t>1084748</t>
  </si>
  <si>
    <t>LBI Media Inc.</t>
  </si>
  <si>
    <t>768591</t>
  </si>
  <si>
    <t>362960</t>
  </si>
  <si>
    <t>768592</t>
  </si>
  <si>
    <t>Lear Corp.</t>
  </si>
  <si>
    <t>1091902</t>
  </si>
  <si>
    <t>112717</t>
  </si>
  <si>
    <t>1091903</t>
  </si>
  <si>
    <t>Learning Care Group (US) Inc.</t>
  </si>
  <si>
    <t>1011916</t>
  </si>
  <si>
    <t>448355</t>
  </si>
  <si>
    <t>1011919</t>
  </si>
  <si>
    <t>Learning Care Group (US) No. 2 Inc</t>
  </si>
  <si>
    <t>1108315</t>
  </si>
  <si>
    <t>483737</t>
  </si>
  <si>
    <t>Leighton Finance Ltd.</t>
  </si>
  <si>
    <t>1034850</t>
  </si>
  <si>
    <t>458440</t>
  </si>
  <si>
    <t>Leighton Holdings Ltd.</t>
  </si>
  <si>
    <t>152</t>
  </si>
  <si>
    <t>513722</t>
  </si>
  <si>
    <t>127018</t>
  </si>
  <si>
    <t>Leisureworld Senior Care LP</t>
  </si>
  <si>
    <t>889363</t>
  </si>
  <si>
    <t>392735</t>
  </si>
  <si>
    <t>HKD</t>
  </si>
  <si>
    <t>IREUR</t>
  </si>
  <si>
    <t>Datum</t>
  </si>
  <si>
    <t>Note: assume today's date for all the exercises is SessionDate:</t>
  </si>
  <si>
    <t>From / To</t>
  </si>
  <si>
    <t>US Discount Curve:</t>
  </si>
  <si>
    <t>CAD Discount Curve:</t>
  </si>
  <si>
    <t xml:space="preserve">EUR Discount Curve: </t>
  </si>
  <si>
    <t xml:space="preserve">GBP Discount Curve: </t>
  </si>
  <si>
    <t>IRGBP</t>
  </si>
  <si>
    <t xml:space="preserve">HKD Discount Curve: </t>
  </si>
  <si>
    <t>IRHKD</t>
  </si>
  <si>
    <t>IRTWD</t>
  </si>
  <si>
    <t>IRJPY</t>
  </si>
  <si>
    <t>AlcatelLucent</t>
  </si>
  <si>
    <t>KS Aktiengesellschaft</t>
  </si>
  <si>
    <t>L1 Identity Solutions Inc.</t>
  </si>
  <si>
    <t>LAST_REST_RATE</t>
  </si>
  <si>
    <t>1053780</t>
  </si>
  <si>
    <t>1060707</t>
  </si>
  <si>
    <t>1060708</t>
  </si>
  <si>
    <t>687638</t>
  </si>
  <si>
    <t>754489</t>
  </si>
  <si>
    <t>765637</t>
  </si>
  <si>
    <t>768593</t>
  </si>
  <si>
    <t>834060</t>
  </si>
  <si>
    <t>843167</t>
  </si>
  <si>
    <t>899682</t>
  </si>
  <si>
    <t>1109331</t>
  </si>
  <si>
    <t>1109329</t>
  </si>
  <si>
    <t>1109330</t>
  </si>
  <si>
    <t>1109332</t>
  </si>
  <si>
    <t>1109333</t>
  </si>
  <si>
    <t>1109334</t>
  </si>
  <si>
    <t>1109335</t>
  </si>
  <si>
    <t>1109336</t>
  </si>
  <si>
    <t>850057</t>
  </si>
  <si>
    <t>1091914</t>
  </si>
  <si>
    <t>buy LT liability</t>
  </si>
  <si>
    <t>buy ST asset</t>
  </si>
  <si>
    <t>buy</t>
  </si>
  <si>
    <t>General Information:</t>
  </si>
  <si>
    <t>eco2508</t>
  </si>
  <si>
    <t>Bucket Category No.</t>
  </si>
  <si>
    <t>Bucket Name</t>
  </si>
  <si>
    <t>Upper Bound in Days</t>
  </si>
  <si>
    <t>Midpoint in Days</t>
  </si>
  <si>
    <t>Overnight</t>
  </si>
  <si>
    <t>&lt;= 1M</t>
  </si>
  <si>
    <t>&lt;= 3M</t>
  </si>
  <si>
    <t>&lt;= 6M</t>
  </si>
  <si>
    <t>&lt;= 9M</t>
  </si>
  <si>
    <t>&lt;= 1y</t>
  </si>
  <si>
    <t>&lt;= 1.5y</t>
  </si>
  <si>
    <t>&lt;= 2y</t>
  </si>
  <si>
    <t>&lt;= 3y</t>
  </si>
  <si>
    <t>&lt;= 4y</t>
  </si>
  <si>
    <t>&lt;= 5y</t>
  </si>
  <si>
    <t>&lt;= 6y</t>
  </si>
  <si>
    <t>&lt;= 7y</t>
  </si>
  <si>
    <t>&lt;= 8y</t>
  </si>
  <si>
    <t>&lt;= 9y</t>
  </si>
  <si>
    <t>&lt;= 10y</t>
  </si>
  <si>
    <t>&lt;= 15y</t>
  </si>
  <si>
    <t>&lt;= 20y</t>
  </si>
  <si>
    <t>&gt; 20y</t>
  </si>
  <si>
    <t xml:space="preserve">Parallel </t>
  </si>
  <si>
    <t xml:space="preserve">Short </t>
  </si>
  <si>
    <t xml:space="preserve">Long </t>
  </si>
  <si>
    <t>JPY</t>
  </si>
  <si>
    <t>BS1</t>
  </si>
  <si>
    <t>BS2</t>
  </si>
  <si>
    <t>BS3</t>
  </si>
  <si>
    <t xml:space="preserve">JPY Discount Curve: </t>
  </si>
  <si>
    <t>AUD</t>
  </si>
  <si>
    <t>IRAUD</t>
  </si>
  <si>
    <t>eco2508h:IRGBP</t>
  </si>
  <si>
    <t>SubVCV3</t>
  </si>
  <si>
    <t>2014-01-18</t>
  </si>
  <si>
    <t>eco2508h:IREUR</t>
  </si>
  <si>
    <t>eco2508h:IRUSD</t>
  </si>
  <si>
    <t>eco2508h:IRCAD</t>
  </si>
  <si>
    <t>Base</t>
  </si>
  <si>
    <t>Spot FX</t>
  </si>
  <si>
    <t>Curve</t>
  </si>
  <si>
    <t>IR Curve</t>
  </si>
  <si>
    <t xml:space="preserve">AUD Discount Curve: </t>
  </si>
  <si>
    <t>Tradable Assets: see bondmkt</t>
  </si>
  <si>
    <t>Balance Sheets examples:</t>
  </si>
  <si>
    <t>Scenarios</t>
  </si>
  <si>
    <t>BS</t>
  </si>
  <si>
    <t>Currency</t>
    <phoneticPr fontId="0" type="noConversion"/>
  </si>
  <si>
    <t>Flattener</t>
  </si>
  <si>
    <t>CAD</t>
    <phoneticPr fontId="0" type="noConversion"/>
  </si>
  <si>
    <t>ParUp</t>
  </si>
  <si>
    <t>USD</t>
    <phoneticPr fontId="0" type="noConversion"/>
  </si>
  <si>
    <t>ParDown</t>
  </si>
  <si>
    <t>JPY</t>
    <phoneticPr fontId="0" type="noConversion"/>
  </si>
  <si>
    <t>ShortUp</t>
  </si>
  <si>
    <t>EUR</t>
    <phoneticPr fontId="0" type="noConversion"/>
  </si>
  <si>
    <t>ShortDown</t>
  </si>
  <si>
    <t>GBP</t>
    <phoneticPr fontId="0" type="noConversion"/>
  </si>
  <si>
    <t>Steepener</t>
  </si>
  <si>
    <t>HKD</t>
    <phoneticPr fontId="0" type="noConversion"/>
  </si>
  <si>
    <t>AUD</t>
    <phoneticPr fontId="0" type="noConversion"/>
  </si>
  <si>
    <t>tsim</t>
  </si>
  <si>
    <t>tsim =</t>
  </si>
  <si>
    <t>Balance Sheet:</t>
  </si>
  <si>
    <t>LCR -&gt;</t>
  </si>
  <si>
    <t>Duration Gap -&gt;</t>
  </si>
  <si>
    <t>Repricing Gap Report as Below:</t>
  </si>
  <si>
    <t>Time buckets -&gt;</t>
  </si>
  <si>
    <t>Libility:</t>
  </si>
  <si>
    <t>CGAP:</t>
  </si>
  <si>
    <t>GAP:</t>
  </si>
  <si>
    <t>GAP Ratio:</t>
  </si>
  <si>
    <t>ISSUER-CP_NM</t>
  </si>
  <si>
    <t>LAST_RESET_RATE</t>
  </si>
  <si>
    <t>Note: this xlsm file is the attachment for a6</t>
  </si>
  <si>
    <t>MXN</t>
    <phoneticPr fontId="5" type="noConversion"/>
  </si>
  <si>
    <t>2014-01-18</t>
    <phoneticPr fontId="5" type="noConversion"/>
  </si>
  <si>
    <t>BS1</t>
    <phoneticPr fontId="5" type="noConversion"/>
  </si>
  <si>
    <t>2014/1/18</t>
    <phoneticPr fontId="5" type="noConversion"/>
  </si>
  <si>
    <t>2014/2/17</t>
    <phoneticPr fontId="5" type="noConversion"/>
  </si>
  <si>
    <t>2014/3/19</t>
    <phoneticPr fontId="5" type="noConversion"/>
  </si>
  <si>
    <t>2014/4/18</t>
    <phoneticPr fontId="5" type="noConversion"/>
  </si>
  <si>
    <t>2014/5/18</t>
    <phoneticPr fontId="5" type="noConversion"/>
  </si>
  <si>
    <t>2014/6/17</t>
    <phoneticPr fontId="5" type="noConversion"/>
  </si>
  <si>
    <t>2014/7/17</t>
    <phoneticPr fontId="5" type="noConversion"/>
  </si>
  <si>
    <t>2014/8/16</t>
    <phoneticPr fontId="5" type="noConversion"/>
  </si>
  <si>
    <t>2014/9/15</t>
    <phoneticPr fontId="5" type="noConversion"/>
  </si>
  <si>
    <t>USD</t>
    <phoneticPr fontId="5" type="noConversion"/>
  </si>
  <si>
    <t>ARS</t>
    <phoneticPr fontId="5" type="noConversion"/>
  </si>
  <si>
    <t>AUD</t>
    <phoneticPr fontId="5" type="noConversion"/>
  </si>
  <si>
    <t>BRL</t>
    <phoneticPr fontId="5" type="noConversion"/>
  </si>
  <si>
    <t>CAD</t>
    <phoneticPr fontId="5" type="noConversion"/>
  </si>
  <si>
    <t>CHF</t>
    <phoneticPr fontId="5" type="noConversion"/>
  </si>
  <si>
    <t>CNY</t>
    <phoneticPr fontId="5" type="noConversion"/>
  </si>
  <si>
    <t>EUR</t>
    <phoneticPr fontId="5" type="noConversion"/>
  </si>
  <si>
    <t>GBP</t>
    <phoneticPr fontId="5" type="noConversion"/>
  </si>
  <si>
    <t>HKD</t>
    <phoneticPr fontId="5" type="noConversion"/>
  </si>
  <si>
    <t>IDR</t>
    <phoneticPr fontId="5" type="noConversion"/>
  </si>
  <si>
    <t>INR</t>
    <phoneticPr fontId="5" type="noConversion"/>
  </si>
  <si>
    <t>JPY</t>
    <phoneticPr fontId="5" type="noConversion"/>
  </si>
  <si>
    <t>KRW</t>
    <phoneticPr fontId="5" type="noConversion"/>
  </si>
  <si>
    <t>RUB</t>
    <phoneticPr fontId="5" type="noConversion"/>
  </si>
  <si>
    <t>SAR</t>
    <phoneticPr fontId="5" type="noConversion"/>
  </si>
  <si>
    <t>SEK</t>
    <phoneticPr fontId="5" type="noConversion"/>
  </si>
  <si>
    <t>SGD</t>
    <phoneticPr fontId="5" type="noConversion"/>
  </si>
  <si>
    <t>TRY</t>
    <phoneticPr fontId="5" type="noConversion"/>
  </si>
  <si>
    <t>ZAR</t>
    <phoneticPr fontId="5" type="noConversion"/>
  </si>
  <si>
    <t>Base</t>
    <phoneticPr fontId="5" type="noConversion"/>
  </si>
  <si>
    <t>Parup</t>
    <phoneticPr fontId="5" type="noConversion"/>
  </si>
  <si>
    <t>@Linear()</t>
    <phoneticPr fontId="5" type="noConversion"/>
  </si>
  <si>
    <t>Asset ID</t>
  </si>
  <si>
    <t>Asset CF</t>
  </si>
  <si>
    <t>Liability ID</t>
  </si>
  <si>
    <t>Liability CF</t>
  </si>
  <si>
    <t>SHQA</t>
  </si>
  <si>
    <t>NCF</t>
  </si>
  <si>
    <t>LCR</t>
  </si>
  <si>
    <t>Asset Value</t>
  </si>
  <si>
    <t>Asset Weights</t>
  </si>
  <si>
    <t>Total Asset Value</t>
  </si>
  <si>
    <t>Asset Duration</t>
  </si>
  <si>
    <t>Liability Value</t>
  </si>
  <si>
    <t>Liability Weights</t>
  </si>
  <si>
    <t>Total Liability Value</t>
  </si>
  <si>
    <t>Liability Duration</t>
  </si>
  <si>
    <t>Total Inflow</t>
  </si>
  <si>
    <t>Total Outflow</t>
  </si>
  <si>
    <t>Stress Testing Final Report:</t>
  </si>
  <si>
    <t>2014/1/18</t>
  </si>
  <si>
    <t>parup</t>
  </si>
  <si>
    <t>pardown</t>
  </si>
  <si>
    <t>shortup</t>
  </si>
  <si>
    <t>shortdown</t>
  </si>
  <si>
    <t>steepener</t>
  </si>
  <si>
    <t>flattener</t>
  </si>
  <si>
    <t>Repricing Debug Info Assets</t>
  </si>
  <si>
    <t>id</t>
  </si>
  <si>
    <t>unit</t>
  </si>
  <si>
    <t>Cashflows</t>
  </si>
  <si>
    <t>bucket 1</t>
  </si>
  <si>
    <t>bucket 2</t>
  </si>
  <si>
    <t>bucket 3</t>
  </si>
  <si>
    <t>bucket 4</t>
  </si>
  <si>
    <t>bucket 5</t>
  </si>
  <si>
    <t>bucket 6</t>
  </si>
  <si>
    <t>bucket 7</t>
  </si>
  <si>
    <t>bucket 8</t>
  </si>
  <si>
    <t>bucket 9</t>
  </si>
  <si>
    <t>bucket 10</t>
  </si>
  <si>
    <t>bucket 11</t>
  </si>
  <si>
    <t>bucket 12</t>
  </si>
  <si>
    <t>bucket 13</t>
  </si>
  <si>
    <t>bucket 14</t>
  </si>
  <si>
    <t>bucket 15</t>
  </si>
  <si>
    <t>bucket 16</t>
  </si>
  <si>
    <t>bucket 17</t>
  </si>
  <si>
    <t>bucket 18</t>
  </si>
  <si>
    <t>bucket 19</t>
  </si>
  <si>
    <t>Liabilities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</si>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</sst>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;@"/>
    <numFmt numFmtId="165" formatCode="#,##0.0000"/>
    <numFmt numFmtId="166" formatCode="0.00000000000"/>
    <numFmt numFmtId="167" formatCode="yyyy/mm/dd;@"/>
    <numFmt numFmtId="168" formatCode="0.000000"/>
    <numFmt numFmtId="169" formatCode="yyyy\-mm\-dd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rgb="FFFF0000"/>
      <name val="Arial"/>
      <family val="2"/>
    </font>
    <font>
      <b/>
      <sz val="16"/>
      <name val="Arial"/>
      <family val="2"/>
    </font>
    <font>
      <b/>
      <sz val="12"/>
      <color rgb="FF00B05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0"/>
      <color rgb="FF000000"/>
      <name val="宋体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4" fillId="0" borderId="0"/>
    <xf numFmtId="0" fontId="4" fillId="0" borderId="0"/>
    <xf numFmtId="0" fontId="2" fillId="0" borderId="0"/>
    <xf numFmtId="9" fontId="3" fillId="0" borderId="0" applyFont="0" applyFill="0" applyBorder="0" applyAlignment="0" applyProtection="0"/>
  </cellStyleXfs>
  <cellXfs count="106">
    <xf numFmtId="0" fontId="0" fillId="0" borderId="0" xfId="0"/>
    <xf numFmtId="0" fontId="6" fillId="0" borderId="0" xfId="0" applyFont="1"/>
    <xf numFmtId="9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/>
    <xf numFmtId="0" fontId="7" fillId="0" borderId="0" xfId="1" applyAlignment="1" applyProtection="1"/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2" borderId="0" xfId="0" applyFont="1" applyFill="1" applyAlignment="1">
      <alignment horizontal="center"/>
    </xf>
    <xf numFmtId="165" fontId="0" fillId="3" borderId="0" xfId="0" applyNumberFormat="1" applyFill="1" applyAlignment="1">
      <alignment wrapText="1"/>
    </xf>
    <xf numFmtId="165" fontId="0" fillId="3" borderId="0" xfId="0" applyNumberFormat="1" applyFill="1" applyAlignment="1">
      <alignment horizontal="center" wrapText="1"/>
    </xf>
    <xf numFmtId="164" fontId="0" fillId="0" borderId="0" xfId="0" applyNumberFormat="1" applyAlignment="1">
      <alignment horizontal="center"/>
    </xf>
    <xf numFmtId="167" fontId="12" fillId="0" borderId="2" xfId="0" applyNumberFormat="1" applyFont="1" applyBorder="1"/>
    <xf numFmtId="0" fontId="12" fillId="0" borderId="1" xfId="0" applyFont="1" applyBorder="1"/>
    <xf numFmtId="0" fontId="0" fillId="0" borderId="0" xfId="0"/>
    <xf numFmtId="0" fontId="6" fillId="0" borderId="3" xfId="0" applyFont="1" applyBorder="1" applyAlignment="1">
      <alignment horizontal="center"/>
    </xf>
    <xf numFmtId="0" fontId="7" fillId="0" borderId="9" xfId="1" applyBorder="1" applyAlignment="1" applyProtection="1"/>
    <xf numFmtId="0" fontId="0" fillId="0" borderId="0" xfId="0" applyAlignment="1">
      <alignment horizontal="center"/>
    </xf>
    <xf numFmtId="0" fontId="10" fillId="0" borderId="9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0" fontId="7" fillId="0" borderId="0" xfId="1" applyAlignment="1" applyProtection="1"/>
    <xf numFmtId="0" fontId="0" fillId="0" borderId="3" xfId="0" applyBorder="1"/>
    <xf numFmtId="0" fontId="0" fillId="0" borderId="0" xfId="0"/>
    <xf numFmtId="0" fontId="0" fillId="0" borderId="0" xfId="0" quotePrefix="1" applyAlignment="1">
      <alignment horizontal="center"/>
    </xf>
    <xf numFmtId="0" fontId="10" fillId="0" borderId="0" xfId="0" quotePrefix="1" applyFont="1" applyAlignment="1">
      <alignment horizontal="center"/>
    </xf>
    <xf numFmtId="49" fontId="0" fillId="0" borderId="0" xfId="0" quotePrefix="1" applyNumberFormat="1" applyAlignment="1">
      <alignment horizontal="center"/>
    </xf>
    <xf numFmtId="0" fontId="6" fillId="0" borderId="0" xfId="0" applyFont="1" applyFill="1" applyAlignment="1">
      <alignment horizontal="center"/>
    </xf>
    <xf numFmtId="0" fontId="3" fillId="0" borderId="0" xfId="2"/>
    <xf numFmtId="0" fontId="17" fillId="4" borderId="3" xfId="2" applyFont="1" applyFill="1" applyBorder="1"/>
    <xf numFmtId="0" fontId="3" fillId="0" borderId="3" xfId="2" applyBorder="1"/>
    <xf numFmtId="14" fontId="18" fillId="0" borderId="3" xfId="2" quotePrefix="1" applyNumberFormat="1" applyFont="1" applyBorder="1"/>
    <xf numFmtId="0" fontId="17" fillId="0" borderId="3" xfId="2" applyFont="1" applyBorder="1"/>
    <xf numFmtId="14" fontId="18" fillId="0" borderId="3" xfId="2" quotePrefix="1" applyNumberFormat="1" applyFont="1" applyBorder="1" applyAlignment="1">
      <alignment horizontal="right"/>
    </xf>
    <xf numFmtId="0" fontId="6" fillId="0" borderId="0" xfId="3" applyFont="1"/>
    <xf numFmtId="0" fontId="11" fillId="0" borderId="0" xfId="3" applyFont="1"/>
    <xf numFmtId="0" fontId="4" fillId="0" borderId="0" xfId="3"/>
    <xf numFmtId="0" fontId="11" fillId="0" borderId="4" xfId="3" applyFont="1" applyBorder="1"/>
    <xf numFmtId="0" fontId="4" fillId="0" borderId="5" xfId="3" applyBorder="1"/>
    <xf numFmtId="0" fontId="4" fillId="0" borderId="6" xfId="3" applyBorder="1"/>
    <xf numFmtId="0" fontId="4" fillId="0" borderId="7" xfId="3" applyBorder="1"/>
    <xf numFmtId="0" fontId="4" fillId="0" borderId="8" xfId="3" applyBorder="1"/>
    <xf numFmtId="0" fontId="4" fillId="0" borderId="3" xfId="3" applyBorder="1"/>
    <xf numFmtId="0" fontId="4" fillId="0" borderId="9" xfId="3" applyBorder="1"/>
    <xf numFmtId="0" fontId="4" fillId="0" borderId="11" xfId="3" applyBorder="1"/>
    <xf numFmtId="0" fontId="4" fillId="0" borderId="10" xfId="3" applyBorder="1"/>
    <xf numFmtId="0" fontId="4" fillId="0" borderId="12" xfId="3" applyBorder="1"/>
    <xf numFmtId="0" fontId="6" fillId="0" borderId="3" xfId="3" applyFont="1" applyBorder="1"/>
    <xf numFmtId="0" fontId="6" fillId="0" borderId="7" xfId="3" applyFont="1" applyBorder="1"/>
    <xf numFmtId="166" fontId="4" fillId="0" borderId="0" xfId="3" applyNumberFormat="1"/>
    <xf numFmtId="3" fontId="4" fillId="0" borderId="3" xfId="3" applyNumberFormat="1" applyBorder="1"/>
    <xf numFmtId="0" fontId="19" fillId="0" borderId="0" xfId="3" applyFont="1"/>
    <xf numFmtId="0" fontId="11" fillId="0" borderId="0" xfId="4" applyFont="1"/>
    <xf numFmtId="0" fontId="13" fillId="0" borderId="13" xfId="2" applyFont="1" applyBorder="1" applyAlignment="1">
      <alignment vertical="center"/>
    </xf>
    <xf numFmtId="0" fontId="11" fillId="0" borderId="0" xfId="2" applyFont="1"/>
    <xf numFmtId="0" fontId="14" fillId="0" borderId="3" xfId="2" applyFont="1" applyBorder="1"/>
    <xf numFmtId="0" fontId="6" fillId="0" borderId="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0" xfId="4" applyFont="1" applyAlignment="1">
      <alignment horizontal="center"/>
    </xf>
    <xf numFmtId="0" fontId="6" fillId="0" borderId="3" xfId="2" applyFont="1" applyBorder="1"/>
    <xf numFmtId="0" fontId="3" fillId="0" borderId="3" xfId="2" applyBorder="1" applyAlignment="1">
      <alignment horizontal="center"/>
    </xf>
    <xf numFmtId="0" fontId="4" fillId="0" borderId="0" xfId="4" applyAlignment="1">
      <alignment horizontal="center"/>
    </xf>
    <xf numFmtId="168" fontId="3" fillId="0" borderId="3" xfId="2" applyNumberFormat="1" applyBorder="1"/>
    <xf numFmtId="0" fontId="4" fillId="0" borderId="0" xfId="4"/>
    <xf numFmtId="0" fontId="6" fillId="0" borderId="0" xfId="4" applyFont="1" applyAlignment="1">
      <alignment horizontal="right"/>
    </xf>
    <xf numFmtId="0" fontId="0" fillId="0" borderId="0" xfId="0" applyFill="1"/>
    <xf numFmtId="0" fontId="20" fillId="0" borderId="0" xfId="2" applyFont="1" applyAlignment="1">
      <alignment horizontal="right"/>
    </xf>
    <xf numFmtId="0" fontId="21" fillId="0" borderId="0" xfId="0" applyFont="1" applyFill="1" applyAlignment="1">
      <alignment horizontal="right"/>
    </xf>
    <xf numFmtId="0" fontId="20" fillId="0" borderId="3" xfId="2" applyFont="1" applyBorder="1" applyAlignment="1">
      <alignment horizontal="right"/>
    </xf>
    <xf numFmtId="0" fontId="0" fillId="0" borderId="0" xfId="0" quotePrefix="1" applyFill="1"/>
    <xf numFmtId="0" fontId="6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14" fontId="0" fillId="4" borderId="3" xfId="0" applyNumberForma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0" borderId="3" xfId="5" applyBorder="1" applyAlignment="1">
      <alignment vertical="center"/>
    </xf>
    <xf numFmtId="0" fontId="2" fillId="0" borderId="0" xfId="5"/>
    <xf numFmtId="0" fontId="2" fillId="0" borderId="3" xfId="5" applyBorder="1" applyAlignment="1">
      <alignment horizontal="center" vertical="center"/>
    </xf>
    <xf numFmtId="0" fontId="2" fillId="0" borderId="3" xfId="5" applyBorder="1"/>
    <xf numFmtId="0" fontId="6" fillId="0" borderId="3" xfId="0" applyFont="1" applyFill="1" applyBorder="1" applyAlignment="1">
      <alignment horizontal="center"/>
    </xf>
    <xf numFmtId="0" fontId="6" fillId="0" borderId="3" xfId="0" applyFont="1" applyBorder="1"/>
    <xf numFmtId="165" fontId="4" fillId="3" borderId="3" xfId="3" applyNumberFormat="1" applyFill="1" applyBorder="1" applyAlignment="1">
      <alignment horizontal="center" vertical="center" wrapText="1"/>
    </xf>
    <xf numFmtId="165" fontId="4" fillId="3" borderId="3" xfId="3" applyNumberFormat="1" applyFill="1" applyBorder="1" applyAlignment="1">
      <alignment horizontal="center" wrapText="1"/>
    </xf>
    <xf numFmtId="0" fontId="3" fillId="0" borderId="3" xfId="2" applyBorder="1" applyAlignment="1">
      <alignment horizontal="center" vertical="center"/>
    </xf>
    <xf numFmtId="0" fontId="4" fillId="0" borderId="3" xfId="3" applyBorder="1" applyAlignment="1">
      <alignment horizontal="center"/>
    </xf>
    <xf numFmtId="49" fontId="4" fillId="0" borderId="3" xfId="3" quotePrefix="1" applyNumberFormat="1" applyBorder="1" applyAlignment="1">
      <alignment horizontal="center"/>
    </xf>
    <xf numFmtId="1" fontId="4" fillId="0" borderId="3" xfId="3" applyNumberFormat="1" applyBorder="1"/>
    <xf numFmtId="169" fontId="4" fillId="0" borderId="3" xfId="3" applyNumberFormat="1" applyBorder="1" applyAlignment="1">
      <alignment horizontal="center"/>
    </xf>
    <xf numFmtId="0" fontId="4" fillId="0" borderId="3" xfId="3" applyBorder="1" applyAlignment="1">
      <alignment horizontal="center" wrapText="1"/>
    </xf>
    <xf numFmtId="10" fontId="4" fillId="0" borderId="3" xfId="6" applyNumberFormat="1" applyFont="1" applyBorder="1" applyAlignment="1"/>
    <xf numFmtId="9" fontId="4" fillId="0" borderId="3" xfId="3" applyNumberFormat="1" applyBorder="1"/>
    <xf numFmtId="14" fontId="3" fillId="0" borderId="3" xfId="2" applyNumberFormat="1" applyBorder="1"/>
    <xf numFmtId="0" fontId="4" fillId="0" borderId="3" xfId="3" quotePrefix="1" applyBorder="1" applyAlignment="1">
      <alignment horizontal="center"/>
    </xf>
    <xf numFmtId="9" fontId="4" fillId="0" borderId="3" xfId="3" applyNumberFormat="1" applyBorder="1" applyAlignment="1">
      <alignment horizontal="right"/>
    </xf>
    <xf numFmtId="0" fontId="10" fillId="0" borderId="3" xfId="3" applyFont="1" applyBorder="1" applyAlignment="1">
      <alignment horizontal="center"/>
    </xf>
    <xf numFmtId="0" fontId="10" fillId="0" borderId="3" xfId="3" quotePrefix="1" applyFont="1" applyBorder="1" applyAlignment="1">
      <alignment horizontal="center"/>
    </xf>
    <xf numFmtId="0" fontId="3" fillId="0" borderId="3" xfId="2" applyBorder="1" applyAlignment="1">
      <alignment horizontal="center" wrapText="1"/>
    </xf>
    <xf numFmtId="169" fontId="0" fillId="0" borderId="0" xfId="0" quotePrefix="1" applyNumberFormat="1" applyAlignment="1">
      <alignment horizontal="center"/>
    </xf>
    <xf numFmtId="0" fontId="1" fillId="0" borderId="3" xfId="2" quotePrefix="1" applyFont="1" applyBorder="1"/>
    <xf numFmtId="0" fontId="0" fillId="0" borderId="0" xfId="0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0" fillId="0" borderId="0" xfId="0"/>
    <xf numFmtId="0" fontId="0" fillId="5" borderId="0" xfId="0" applyFill="1"/>
    <xf numFmtId="0" fontId="2" fillId="0" borderId="3" xfId="5" applyNumberFormat="1" applyBorder="1"/>
  </cellXfs>
  <cellStyles count="7">
    <cellStyle name="Hyperlink" xfId="1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3" xfId="5" xr:uid="{CCAB67DA-180E-174D-A2F7-61557096EF4B}"/>
    <cellStyle name="Normal 5" xfId="4" xr:uid="{081A8498-1A27-924A-B643-785868AE8CFD}"/>
    <cellStyle name="Percent 2" xfId="6" xr:uid="{E27A55D0-6129-E940-A065-D13529B7812A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7326</xdr:colOff>
          <xdr:row>19</xdr:row>
          <xdr:rowOff>7326</xdr:rowOff>
        </xdr:from>
        <xdr:to>
          <xdr:col>3</xdr:col>
          <xdr:colOff>7326</xdr:colOff>
          <xdr:row>21</xdr:row>
          <xdr:rowOff>7328</xdr:rowOff>
        </xdr:to>
        <xdr:sp macro="" textlink="">
          <xdr:nvSpPr>
            <xdr:cNvPr id="634887" name="Button 7" hidden="1">
              <a:extLst>
                <a:ext uri="{63B3BB69-23CF-44E3-9099-C40C66FF867C}">
                  <a14:compatExt spid="_x0000_s634887"/>
                </a:ext>
                <a:ext uri="{FF2B5EF4-FFF2-40B4-BE49-F238E27FC236}">
                  <a16:creationId xmlns:a16="http://schemas.microsoft.com/office/drawing/2014/main" id="{00000000-0008-0000-0100-000007B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Duration Gap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351694</xdr:colOff>
          <xdr:row>19</xdr:row>
          <xdr:rowOff>733</xdr:rowOff>
        </xdr:from>
        <xdr:to>
          <xdr:col>5</xdr:col>
          <xdr:colOff>87923</xdr:colOff>
          <xdr:row>21</xdr:row>
          <xdr:rowOff>0</xdr:rowOff>
        </xdr:to>
        <xdr:sp macro="" textlink="">
          <xdr:nvSpPr>
            <xdr:cNvPr id="634888" name="Button 8" hidden="1">
              <a:extLst>
                <a:ext uri="{63B3BB69-23CF-44E3-9099-C40C66FF867C}">
                  <a14:compatExt spid="_x0000_s634888"/>
                </a:ext>
                <a:ext uri="{FF2B5EF4-FFF2-40B4-BE49-F238E27FC236}">
                  <a16:creationId xmlns:a16="http://schemas.microsoft.com/office/drawing/2014/main" id="{00000000-0008-0000-0100-000008B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4396</xdr:colOff>
          <xdr:row>19</xdr:row>
          <xdr:rowOff>13189</xdr:rowOff>
        </xdr:from>
        <xdr:to>
          <xdr:col>9</xdr:col>
          <xdr:colOff>681403</xdr:colOff>
          <xdr:row>20</xdr:row>
          <xdr:rowOff>155332</xdr:rowOff>
        </xdr:to>
        <xdr:sp macro="" textlink="">
          <xdr:nvSpPr>
            <xdr:cNvPr id="634891" name="Button 11" hidden="1">
              <a:extLst>
                <a:ext uri="{63B3BB69-23CF-44E3-9099-C40C66FF867C}">
                  <a14:compatExt spid="_x0000_s634891"/>
                </a:ext>
                <a:ext uri="{FF2B5EF4-FFF2-40B4-BE49-F238E27FC236}">
                  <a16:creationId xmlns:a16="http://schemas.microsoft.com/office/drawing/2014/main" id="{00000000-0008-0000-0100-00000BB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 debuginfo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486507</xdr:colOff>
          <xdr:row>18</xdr:row>
          <xdr:rowOff>156797</xdr:rowOff>
        </xdr:from>
        <xdr:to>
          <xdr:col>7</xdr:col>
          <xdr:colOff>371475</xdr:colOff>
          <xdr:row>20</xdr:row>
          <xdr:rowOff>156797</xdr:rowOff>
        </xdr:to>
        <xdr:sp macro="" textlink="">
          <xdr:nvSpPr>
            <xdr:cNvPr id="634894" name="Button 14" hidden="1">
              <a:extLst>
                <a:ext uri="{63B3BB69-23CF-44E3-9099-C40C66FF867C}">
                  <a14:compatExt spid="_x0000_s634894"/>
                </a:ext>
                <a:ext uri="{FF2B5EF4-FFF2-40B4-BE49-F238E27FC236}">
                  <a16:creationId xmlns:a16="http://schemas.microsoft.com/office/drawing/2014/main" id="{00000000-0008-0000-0100-00000EB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Repricing Gap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12</xdr:row>
          <xdr:rowOff>57150</xdr:rowOff>
        </xdr:from>
        <xdr:to>
          <xdr:col>6</xdr:col>
          <xdr:colOff>590550</xdr:colOff>
          <xdr:row>14</xdr:row>
          <xdr:rowOff>114300</xdr:rowOff>
        </xdr:to>
        <xdr:sp macro="" textlink="">
          <xdr:nvSpPr>
            <xdr:cNvPr id="645123" name="Button 3" hidden="1">
              <a:extLst>
                <a:ext uri="{63B3BB69-23CF-44E3-9099-C40C66FF867C}">
                  <a14:compatExt spid="_x0000_s645123"/>
                </a:ext>
                <a:ext uri="{FF2B5EF4-FFF2-40B4-BE49-F238E27FC236}">
                  <a16:creationId xmlns:a16="http://schemas.microsoft.com/office/drawing/2014/main" id="{00000000-0008-0000-0300-000003D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scencurve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847725</xdr:colOff>
          <xdr:row>11</xdr:row>
          <xdr:rowOff>38100</xdr:rowOff>
        </xdr:from>
        <xdr:to>
          <xdr:col>7</xdr:col>
          <xdr:colOff>361950</xdr:colOff>
          <xdr:row>13</xdr:row>
          <xdr:rowOff>133350</xdr:rowOff>
        </xdr:to>
        <xdr:sp macro="" textlink="">
          <xdr:nvSpPr>
            <xdr:cNvPr id="646147" name="Button 3" hidden="1">
              <a:extLst>
                <a:ext uri="{63B3BB69-23CF-44E3-9099-C40C66FF867C}">
                  <a14:compatExt spid="_x0000_s646147"/>
                </a:ext>
                <a:ext uri="{FF2B5EF4-FFF2-40B4-BE49-F238E27FC236}">
                  <a16:creationId xmlns:a16="http://schemas.microsoft.com/office/drawing/2014/main" id="{00000000-0008-0000-0400-000003D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scencurve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1390650</xdr:colOff>
          <xdr:row>13</xdr:row>
          <xdr:rowOff>95250</xdr:rowOff>
        </xdr:from>
        <xdr:to>
          <xdr:col>6</xdr:col>
          <xdr:colOff>19050</xdr:colOff>
          <xdr:row>16</xdr:row>
          <xdr:rowOff>76200</xdr:rowOff>
        </xdr:to>
        <xdr:sp macro="" textlink="">
          <xdr:nvSpPr>
            <xdr:cNvPr id="647171" name="Button 3" hidden="1">
              <a:extLst>
                <a:ext uri="{63B3BB69-23CF-44E3-9099-C40C66FF867C}">
                  <a14:compatExt spid="_x0000_s647171"/>
                </a:ext>
                <a:ext uri="{FF2B5EF4-FFF2-40B4-BE49-F238E27FC236}">
                  <a16:creationId xmlns:a16="http://schemas.microsoft.com/office/drawing/2014/main" id="{00000000-0008-0000-0500-000003E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scencuve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1762125</xdr:colOff>
          <xdr:row>14</xdr:row>
          <xdr:rowOff>0</xdr:rowOff>
        </xdr:from>
        <xdr:to>
          <xdr:col>6</xdr:col>
          <xdr:colOff>304800</xdr:colOff>
          <xdr:row>17</xdr:row>
          <xdr:rowOff>57150</xdr:rowOff>
        </xdr:to>
        <xdr:sp macro="" textlink="">
          <xdr:nvSpPr>
            <xdr:cNvPr id="648195" name="Button 3" hidden="1">
              <a:extLst>
                <a:ext uri="{63B3BB69-23CF-44E3-9099-C40C66FF867C}">
                  <a14:compatExt spid="_x0000_s648195"/>
                </a:ext>
                <a:ext uri="{FF2B5EF4-FFF2-40B4-BE49-F238E27FC236}">
                  <a16:creationId xmlns:a16="http://schemas.microsoft.com/office/drawing/2014/main" id="{00000000-0008-0000-0600-000003E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scencurve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13</xdr:row>
          <xdr:rowOff>47625</xdr:rowOff>
        </xdr:from>
        <xdr:to>
          <xdr:col>6</xdr:col>
          <xdr:colOff>95250</xdr:colOff>
          <xdr:row>16</xdr:row>
          <xdr:rowOff>19050</xdr:rowOff>
        </xdr:to>
        <xdr:sp macro="" textlink="">
          <xdr:nvSpPr>
            <xdr:cNvPr id="626692" name="Button 4" hidden="1">
              <a:extLst>
                <a:ext uri="{63B3BB69-23CF-44E3-9099-C40C66FF867C}">
                  <a14:compatExt spid="_x0000_s626692"/>
                </a:ext>
                <a:ext uri="{FF2B5EF4-FFF2-40B4-BE49-F238E27FC236}">
                  <a16:creationId xmlns:a16="http://schemas.microsoft.com/office/drawing/2014/main" id="{00000000-0008-0000-0700-000004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scencurve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14</xdr:row>
          <xdr:rowOff>95250</xdr:rowOff>
        </xdr:from>
        <xdr:to>
          <xdr:col>5</xdr:col>
          <xdr:colOff>762000</xdr:colOff>
          <xdr:row>17</xdr:row>
          <xdr:rowOff>66675</xdr:rowOff>
        </xdr:to>
        <xdr:sp macro="" textlink="">
          <xdr:nvSpPr>
            <xdr:cNvPr id="627716" name="Button 4" hidden="1">
              <a:extLst>
                <a:ext uri="{63B3BB69-23CF-44E3-9099-C40C66FF867C}">
                  <a14:compatExt spid="_x0000_s627716"/>
                </a:ext>
                <a:ext uri="{FF2B5EF4-FFF2-40B4-BE49-F238E27FC236}">
                  <a16:creationId xmlns:a16="http://schemas.microsoft.com/office/drawing/2014/main" id="{00000000-0008-0000-0800-0000049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scencurve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13</xdr:row>
          <xdr:rowOff>152400</xdr:rowOff>
        </xdr:from>
        <xdr:to>
          <xdr:col>5</xdr:col>
          <xdr:colOff>1000125</xdr:colOff>
          <xdr:row>16</xdr:row>
          <xdr:rowOff>114300</xdr:rowOff>
        </xdr:to>
        <xdr:sp macro="" textlink="">
          <xdr:nvSpPr>
            <xdr:cNvPr id="629763" name="Button 3" hidden="1">
              <a:extLst>
                <a:ext uri="{63B3BB69-23CF-44E3-9099-C40C66FF867C}">
                  <a14:compatExt spid="_x0000_s629763"/>
                </a:ext>
                <a:ext uri="{FF2B5EF4-FFF2-40B4-BE49-F238E27FC236}">
                  <a16:creationId xmlns:a16="http://schemas.microsoft.com/office/drawing/2014/main" id="{00000000-0008-0000-0900-0000039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scencurve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:\C:\C:\Users\sarahjingli\Desktop\ECO2508%20Risk%20Management\Assignment\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1ECO2508H/Topic-Projects/2021H/p2-MktVaR/groupname_p2_solu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:\C:\C:\Users\sarahjingli\Desktop\ECO2508%20Risk%20Management\Assignment\a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1ECO2508H/Topic-Projects/2021H/p2-VaRAnalysis/groupname_p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:\C:\C:\D:\AMFExce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:\AMFExcel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xiyang/pythonLearn/eco2508ipy/xls/groupname_p2_solution.v11.copy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VBAExercises/assigned%20for%202020S/a7-DurationGap-solusio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CScenario"/>
      <sheetName val="bondmk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CScenario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Xian Yang" id="{33167921-1CA0-8147-8B3B-6A92D6C0685B}" userId="S::xian.yang@utoronto.ca::a2d0e27b-7b1e-4ff6-9d5a-8db6df31347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1-02-04T21:46:35.90" personId="{33167921-1CA0-8147-8B3B-6A92D6C0685B}" id="{08F59D8E-41EC-D943-96EC-2138ADC187ED}">
    <text xml:space="preserve">allow user to choose a simulation date
</text>
  </threadedComment>
  <threadedComment ref="I6" dT="2021-02-04T21:46:09.22" personId="{33167921-1CA0-8147-8B3B-6A92D6C0685B}" id="{A77F3906-6CAA-7C4F-964E-26CFB09857F9}">
    <text xml:space="preserve">reporting currency may change in balance sheet
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F7"/>
  <sheetViews>
    <sheetView zoomScale="140" zoomScaleNormal="140" workbookViewId="0">
      <selection activeCell="F19" sqref="F19"/>
    </sheetView>
  </sheetViews>
  <sheetFormatPr defaultColWidth="9.140625" defaultRowHeight="12.75"/>
  <cols>
    <col min="1" max="1" width="9.140625" style="14"/>
    <col min="2" max="2" width="9.42578125" style="14" customWidth="1"/>
    <col min="3" max="5" width="9.140625" style="14"/>
    <col min="6" max="6" width="69.7109375" style="14" customWidth="1"/>
    <col min="7" max="16384" width="9.140625" style="14"/>
  </cols>
  <sheetData>
    <row r="1" spans="1:6">
      <c r="A1" s="1" t="s">
        <v>700</v>
      </c>
      <c r="B1" s="22"/>
    </row>
    <row r="2" spans="1:6">
      <c r="A2" s="1"/>
      <c r="B2" s="64" t="s">
        <v>746</v>
      </c>
    </row>
    <row r="3" spans="1:6" ht="13.5" thickBot="1">
      <c r="A3" s="22"/>
      <c r="B3" s="20"/>
    </row>
    <row r="4" spans="1:6" ht="15.75">
      <c r="A4" s="1" t="s">
        <v>747</v>
      </c>
      <c r="B4" s="22"/>
      <c r="C4" s="1"/>
      <c r="F4" s="13" t="s">
        <v>662</v>
      </c>
    </row>
    <row r="5" spans="1:6" ht="16.5" thickBot="1">
      <c r="A5" s="22"/>
      <c r="B5" s="68" t="s">
        <v>729</v>
      </c>
      <c r="C5" s="68" t="s">
        <v>730</v>
      </c>
      <c r="D5" s="68" t="s">
        <v>731</v>
      </c>
      <c r="F5" s="12">
        <v>41657</v>
      </c>
    </row>
    <row r="6" spans="1:6">
      <c r="B6" s="20"/>
    </row>
    <row r="7" spans="1:6">
      <c r="A7" s="1" t="s">
        <v>777</v>
      </c>
      <c r="B7" s="5"/>
    </row>
  </sheetData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BF3B2-656A-8C41-BC60-5D2D0D75C090}">
  <sheetPr codeName="Sheet3"/>
  <dimension ref="A1:CF15"/>
  <sheetViews>
    <sheetView tabSelected="1" zoomScale="130" zoomScaleNormal="130" workbookViewId="0">
      <selection activeCell="E14" sqref="E14"/>
    </sheetView>
  </sheetViews>
  <sheetFormatPr defaultColWidth="11.42578125" defaultRowHeight="12.75"/>
  <cols>
    <col min="1" max="1" width="16.7109375" customWidth="1"/>
    <col min="2" max="2" width="10.140625" bestFit="1" customWidth="1"/>
    <col min="4" max="4" width="13.85546875" customWidth="1"/>
  </cols>
  <sheetData>
    <row r="1" spans="1:84" s="22" customFormat="1" ht="21" customHeight="1">
      <c r="A1" s="102" t="s">
        <v>830</v>
      </c>
      <c r="B1" s="102"/>
      <c r="C1" s="102"/>
      <c r="D1" s="102"/>
      <c r="E1" s="102"/>
      <c r="F1" s="102"/>
      <c r="G1" s="102"/>
      <c r="H1" s="102"/>
      <c r="I1" s="102"/>
      <c r="J1" s="101"/>
      <c r="K1" s="101"/>
      <c r="L1" s="101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</row>
    <row r="2" spans="1:84" s="22" customFormat="1"/>
    <row r="3" spans="1:84" ht="18" customHeight="1">
      <c r="A3" s="15" t="s">
        <v>765</v>
      </c>
      <c r="B3" s="74" t="s">
        <v>831</v>
      </c>
      <c r="D3" s="15" t="s">
        <v>766</v>
      </c>
      <c r="E3" s="75" t="s">
        <v>729</v>
      </c>
    </row>
    <row r="4" spans="1:84" ht="13.5" thickBot="1"/>
    <row r="5" spans="1:84">
      <c r="A5" s="72"/>
      <c r="B5" s="72" t="s">
        <v>810</v>
      </c>
      <c r="C5" s="72" t="s">
        <v>811</v>
      </c>
      <c r="D5" s="72" t="s">
        <v>755</v>
      </c>
      <c r="E5" s="72" t="s">
        <v>757</v>
      </c>
      <c r="F5" s="72" t="s">
        <v>759</v>
      </c>
      <c r="G5" s="72" t="s">
        <v>761</v>
      </c>
      <c r="H5" s="73" t="s">
        <v>751</v>
      </c>
      <c r="I5" s="73" t="s">
        <v>13</v>
      </c>
    </row>
    <row r="6" spans="1:84">
      <c r="A6" s="15" t="s">
        <v>767</v>
      </c>
      <c r="B6" s="7">
        <v>8.5370277206658631</v>
      </c>
      <c r="C6" s="7">
        <v>8.2343394102143321</v>
      </c>
      <c r="D6" s="7">
        <v>8.568991461493896</v>
      </c>
      <c r="E6" s="7">
        <v>8.1375005418184703</v>
      </c>
      <c r="F6" s="7">
        <v>8.568991461493896</v>
      </c>
      <c r="G6" s="7">
        <v>8.5687901718217816</v>
      </c>
      <c r="H6" s="7">
        <v>8.2175900977681184</v>
      </c>
      <c r="I6" s="15" t="s">
        <v>14</v>
      </c>
    </row>
    <row r="7" spans="1:84">
      <c r="A7" s="15" t="s">
        <v>768</v>
      </c>
      <c r="B7" s="7">
        <v>-1.5688564176205599</v>
      </c>
      <c r="C7" s="7">
        <v>-1.3224796956998934</v>
      </c>
      <c r="D7" s="7">
        <v>-1.7910197533832153</v>
      </c>
      <c r="E7" s="7">
        <v>-1.4469755992123949</v>
      </c>
      <c r="F7" s="7">
        <v>-1.6826242481648546</v>
      </c>
      <c r="G7" s="7">
        <v>-1.522367905623909</v>
      </c>
      <c r="H7" s="7">
        <v>-1.5548021556489966</v>
      </c>
      <c r="I7" s="15" t="s">
        <v>14</v>
      </c>
    </row>
    <row r="8" spans="1:84">
      <c r="A8" s="17"/>
      <c r="B8" s="17"/>
      <c r="C8" s="17"/>
      <c r="D8" s="17"/>
      <c r="E8" s="17"/>
      <c r="F8" s="17"/>
      <c r="G8" s="17"/>
      <c r="H8" s="17"/>
      <c r="I8" s="70"/>
    </row>
    <row r="9" spans="1:84">
      <c r="A9" s="1" t="s">
        <v>769</v>
      </c>
    </row>
    <row r="10" spans="1:84" s="21" customFormat="1" ht="15.75">
      <c r="A10" s="80" t="s">
        <v>770</v>
      </c>
      <c r="B10" s="78" t="s">
        <v>706</v>
      </c>
      <c r="C10" s="78" t="s">
        <v>707</v>
      </c>
      <c r="D10" s="78" t="s">
        <v>708</v>
      </c>
      <c r="E10" s="78" t="s">
        <v>709</v>
      </c>
      <c r="F10" s="78" t="s">
        <v>710</v>
      </c>
      <c r="G10" s="78" t="s">
        <v>711</v>
      </c>
      <c r="H10" s="78" t="s">
        <v>712</v>
      </c>
      <c r="I10" s="78" t="s">
        <v>713</v>
      </c>
      <c r="J10" s="78" t="s">
        <v>714</v>
      </c>
      <c r="K10" s="78" t="s">
        <v>715</v>
      </c>
      <c r="L10" s="78" t="s">
        <v>716</v>
      </c>
      <c r="M10" s="78" t="s">
        <v>717</v>
      </c>
      <c r="N10" s="78" t="s">
        <v>718</v>
      </c>
      <c r="O10" s="78" t="s">
        <v>719</v>
      </c>
      <c r="P10" s="78" t="s">
        <v>720</v>
      </c>
      <c r="Q10" s="78" t="s">
        <v>721</v>
      </c>
      <c r="R10" s="78" t="s">
        <v>722</v>
      </c>
      <c r="S10" s="78" t="s">
        <v>723</v>
      </c>
      <c r="T10" s="78" t="s">
        <v>724</v>
      </c>
    </row>
    <row r="11" spans="1:84" s="21" customFormat="1">
      <c r="A11" s="80" t="s">
        <v>23</v>
      </c>
      <c r="B11" s="21">
        <v>1427.9188163017084</v>
      </c>
      <c r="C11" s="21">
        <v>3059.0215468823985</v>
      </c>
      <c r="D11" s="21">
        <v>12747.56170582147</v>
      </c>
      <c r="E11" s="21">
        <v>6825.5209983432651</v>
      </c>
      <c r="F11" s="21">
        <v>162.63963595160109</v>
      </c>
      <c r="G11" s="21">
        <v>7837.3367218336116</v>
      </c>
      <c r="H11" s="21">
        <v>2523.1683465204778</v>
      </c>
      <c r="I11" s="21">
        <v>5540.0034588341214</v>
      </c>
      <c r="J11" s="21">
        <v>3871.6566300050881</v>
      </c>
      <c r="K11" s="21">
        <v>824.07592246638569</v>
      </c>
      <c r="L11" s="21">
        <v>1269.6452054794524</v>
      </c>
      <c r="M11" s="21">
        <v>213.7397260273973</v>
      </c>
      <c r="N11" s="21">
        <v>1260.1643835616439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1">
        <v>0</v>
      </c>
    </row>
    <row r="12" spans="1:84" s="21" customFormat="1">
      <c r="A12" s="80" t="s">
        <v>771</v>
      </c>
      <c r="B12" s="21">
        <v>2442.8814077849083</v>
      </c>
      <c r="C12" s="21">
        <v>5969.1513624981644</v>
      </c>
      <c r="D12" s="21">
        <v>7371.8553536879963</v>
      </c>
      <c r="E12" s="21">
        <v>5681.9582725328282</v>
      </c>
      <c r="F12" s="21">
        <v>1010.1258209469539</v>
      </c>
      <c r="G12" s="21">
        <v>2842.9918399244566</v>
      </c>
      <c r="H12" s="21">
        <v>2495.6442465753448</v>
      </c>
      <c r="I12" s="21">
        <v>908.51054794520655</v>
      </c>
      <c r="J12" s="21">
        <v>6513.3238356164402</v>
      </c>
      <c r="K12" s="21">
        <v>5771.6112328767149</v>
      </c>
      <c r="L12" s="21">
        <v>9906.3701369863029</v>
      </c>
      <c r="M12" s="21">
        <v>1786.7497260273979</v>
      </c>
      <c r="N12" s="21">
        <v>6012.034246575342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>
        <v>0</v>
      </c>
    </row>
    <row r="13" spans="1:84" s="21" customFormat="1">
      <c r="A13" s="80" t="s">
        <v>773</v>
      </c>
      <c r="B13" s="21">
        <v>-1014.9625914832</v>
      </c>
      <c r="C13" s="21">
        <v>-2910.1298156157659</v>
      </c>
      <c r="D13" s="81">
        <v>5375.706352133474</v>
      </c>
      <c r="E13" s="21">
        <v>1143.5627258104369</v>
      </c>
      <c r="F13" s="21">
        <v>-847.4861849953528</v>
      </c>
      <c r="G13" s="21">
        <v>4994.3448819091554</v>
      </c>
      <c r="H13" s="21">
        <v>27.524099945133003</v>
      </c>
      <c r="I13" s="21">
        <v>4631.4929108889146</v>
      </c>
      <c r="J13" s="21">
        <v>-2641.6672056113521</v>
      </c>
      <c r="K13" s="21">
        <v>-4947.5353104103287</v>
      </c>
      <c r="L13" s="21">
        <v>-8636.7249315068511</v>
      </c>
      <c r="M13" s="21">
        <v>-1573.0100000000007</v>
      </c>
      <c r="N13" s="21">
        <v>-4751.8698630136978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>
        <v>0</v>
      </c>
    </row>
    <row r="14" spans="1:84" s="21" customFormat="1">
      <c r="A14" s="80" t="s">
        <v>772</v>
      </c>
      <c r="B14" s="21">
        <v>-1014.9625914832</v>
      </c>
      <c r="C14" s="21">
        <v>-3925.0924070989659</v>
      </c>
      <c r="D14" s="21">
        <v>1450.6139450345081</v>
      </c>
      <c r="E14" s="21">
        <v>2594.176670844945</v>
      </c>
      <c r="F14" s="21">
        <v>1746.6904858495923</v>
      </c>
      <c r="G14" s="21">
        <v>6741.0353677587482</v>
      </c>
      <c r="H14" s="21">
        <v>6768.5594677038807</v>
      </c>
      <c r="I14" s="21">
        <v>11400.052378592794</v>
      </c>
      <c r="J14" s="21">
        <v>8758.3851729814414</v>
      </c>
      <c r="K14" s="21">
        <v>3810.8498625711127</v>
      </c>
      <c r="L14" s="21">
        <v>-4825.8750689357385</v>
      </c>
      <c r="M14" s="21">
        <v>-6398.8850689357387</v>
      </c>
      <c r="N14" s="21">
        <v>-11150.754931949436</v>
      </c>
      <c r="O14" s="21">
        <v>-11150.754931949436</v>
      </c>
      <c r="P14" s="21">
        <v>-11150.754931949436</v>
      </c>
      <c r="Q14" s="21">
        <v>-11150.754931949436</v>
      </c>
      <c r="R14" s="21">
        <v>-11150.754931949436</v>
      </c>
      <c r="S14" s="21">
        <v>-11150.754931949436</v>
      </c>
      <c r="T14" s="21">
        <v>-11150.754931949436</v>
      </c>
    </row>
    <row r="15" spans="1:84" s="21" customFormat="1">
      <c r="A15" s="80" t="s">
        <v>774</v>
      </c>
      <c r="B15" s="21">
        <v>0.58452236434861526</v>
      </c>
      <c r="C15" s="21">
        <v>0.51247176710931319</v>
      </c>
      <c r="D15" s="21">
        <v>1.7292202700971488</v>
      </c>
      <c r="E15" s="21">
        <v>1.2012620774317433</v>
      </c>
      <c r="F15" s="21">
        <v>0.16100928476329091</v>
      </c>
      <c r="G15" s="21">
        <v>2.7567214973229976</v>
      </c>
      <c r="H15" s="21">
        <v>1.0110288555682176</v>
      </c>
      <c r="I15" s="21">
        <v>6.0978966852548266</v>
      </c>
      <c r="J15" s="21">
        <v>0.59442102492032212</v>
      </c>
      <c r="K15" s="21">
        <v>0.14278091320015082</v>
      </c>
      <c r="L15" s="21">
        <v>0.12816452322320571</v>
      </c>
      <c r="M15" s="21">
        <v>0.11962488249690087</v>
      </c>
      <c r="N15" s="21">
        <v>0.20960698689956336</v>
      </c>
      <c r="O15" s="21" t="s">
        <v>862</v>
      </c>
      <c r="P15" s="21" t="s">
        <v>862</v>
      </c>
      <c r="Q15" s="21" t="s">
        <v>862</v>
      </c>
      <c r="R15" s="21" t="s">
        <v>862</v>
      </c>
      <c r="S15" s="21" t="s">
        <v>862</v>
      </c>
      <c r="T15" s="21" t="s">
        <v>862</v>
      </c>
    </row>
  </sheetData>
  <mergeCells count="1">
    <mergeCell ref="A1:I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87" r:id="rId4" name="Button 7">
              <controlPr defaultSize="0" print="0" autoFill="0" autoPict="0" macro="[0]!durationGap_mainMacro">
                <anchor mov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3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88" r:id="rId5" name="Button 8">
              <controlPr defaultSize="0" print="0" autoFill="0" autoPict="0" macro="[0]!printLCR">
                <anchor moveWithCells="1" sizeWithCells="1">
                  <from>
                    <xdr:col>3</xdr:col>
                    <xdr:colOff>352425</xdr:colOff>
                    <xdr:row>19</xdr:row>
                    <xdr:rowOff>0</xdr:rowOff>
                  </from>
                  <to>
                    <xdr:col>5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91" r:id="rId6" name="Button 11">
              <controlPr defaultSize="0" print="0" autoFill="0" autoPict="0" macro="[0]!_xludf.clean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9</xdr:col>
                    <xdr:colOff>685800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94" r:id="rId7" name="Button 14">
              <controlPr defaultSize="0" print="0" autoFill="0" autoPict="0" macro="[0]!RepricingGapModel">
                <anchor moveWithCells="1" sizeWithCells="1">
                  <from>
                    <xdr:col>5</xdr:col>
                    <xdr:colOff>485775</xdr:colOff>
                    <xdr:row>18</xdr:row>
                    <xdr:rowOff>152400</xdr:rowOff>
                  </from>
                  <to>
                    <xdr:col>7</xdr:col>
                    <xdr:colOff>371475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0FBFC3-7AF7-534B-A4A3-49BDCAAC510D}">
          <x14:formula1>
            <xm:f>Data!$A$2:$A$10</xm:f>
          </x14:formula1>
          <xm:sqref>B3</xm:sqref>
        </x14:dataValidation>
        <x14:dataValidation type="list" allowBlank="1" showInputMessage="1" showErrorMessage="1" xr:uid="{3380060B-B714-D049-9905-763A925EB1C6}">
          <x14:formula1>
            <xm:f>Data!E2:E5</xm:f>
          </x14:formula1>
          <xm:sqref>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4DCA3-0518-47B6-8B2A-44BD23A4298C}">
  <sheetPr codeName="Sheet13"/>
  <dimension ref="A1:DV101"/>
  <sheetViews>
    <sheetView workbookViewId="0">
      <selection activeCell="J12" sqref="J12"/>
    </sheetView>
  </sheetViews>
  <sheetFormatPr defaultRowHeight="12.75"/>
  <cols>
    <col min="3" max="3" width="11.85546875" customWidth="1"/>
    <col min="4" max="4" width="13" customWidth="1"/>
    <col min="5" max="5" width="14.5703125" customWidth="1"/>
    <col min="6" max="6" width="12.28515625" customWidth="1"/>
    <col min="7" max="7" width="9.5703125" customWidth="1"/>
    <col min="8" max="8" width="10.140625" customWidth="1"/>
    <col min="9" max="9" width="13" customWidth="1"/>
    <col min="10" max="10" width="12.85546875" customWidth="1"/>
    <col min="11" max="11" width="13.28515625" customWidth="1"/>
    <col min="12" max="12" width="14.7109375" customWidth="1"/>
  </cols>
  <sheetData>
    <row r="1" spans="1:126">
      <c r="A1" s="103" t="s">
        <v>741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 t="s">
        <v>753</v>
      </c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 t="s">
        <v>755</v>
      </c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 t="s">
        <v>757</v>
      </c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 t="s">
        <v>759</v>
      </c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 t="s">
        <v>761</v>
      </c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 t="s">
        <v>751</v>
      </c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t="s">
        <v>838</v>
      </c>
      <c r="CI1" t="s">
        <v>841</v>
      </c>
      <c r="DB1" t="s">
        <v>861</v>
      </c>
      <c r="DD1" t="s">
        <v>841</v>
      </c>
    </row>
    <row r="2" spans="1:126">
      <c r="A2" t="s">
        <v>813</v>
      </c>
      <c r="B2" t="s">
        <v>814</v>
      </c>
      <c r="C2" t="s">
        <v>820</v>
      </c>
      <c r="D2" t="s">
        <v>821</v>
      </c>
      <c r="E2" t="s">
        <v>822</v>
      </c>
      <c r="F2" t="s">
        <v>823</v>
      </c>
      <c r="G2" t="s">
        <v>815</v>
      </c>
      <c r="H2" t="s">
        <v>816</v>
      </c>
      <c r="I2" t="s">
        <v>824</v>
      </c>
      <c r="J2" t="s">
        <v>825</v>
      </c>
      <c r="K2" t="s">
        <v>826</v>
      </c>
      <c r="L2" t="s">
        <v>827</v>
      </c>
      <c r="M2" t="s">
        <v>813</v>
      </c>
      <c r="N2" t="s">
        <v>814</v>
      </c>
      <c r="O2" t="s">
        <v>820</v>
      </c>
      <c r="P2" t="s">
        <v>821</v>
      </c>
      <c r="Q2" t="s">
        <v>822</v>
      </c>
      <c r="R2" t="s">
        <v>823</v>
      </c>
      <c r="S2" t="s">
        <v>815</v>
      </c>
      <c r="T2" t="s">
        <v>816</v>
      </c>
      <c r="U2" t="s">
        <v>824</v>
      </c>
      <c r="V2" t="s">
        <v>825</v>
      </c>
      <c r="W2" t="s">
        <v>826</v>
      </c>
      <c r="X2" t="s">
        <v>827</v>
      </c>
      <c r="Y2" t="s">
        <v>813</v>
      </c>
      <c r="Z2" t="s">
        <v>814</v>
      </c>
      <c r="AA2" t="s">
        <v>820</v>
      </c>
      <c r="AB2" t="s">
        <v>821</v>
      </c>
      <c r="AC2" t="s">
        <v>822</v>
      </c>
      <c r="AD2" t="s">
        <v>823</v>
      </c>
      <c r="AE2" t="s">
        <v>815</v>
      </c>
      <c r="AF2" t="s">
        <v>816</v>
      </c>
      <c r="AG2" t="s">
        <v>824</v>
      </c>
      <c r="AH2" t="s">
        <v>825</v>
      </c>
      <c r="AI2" t="s">
        <v>826</v>
      </c>
      <c r="AJ2" t="s">
        <v>827</v>
      </c>
      <c r="AK2" t="s">
        <v>813</v>
      </c>
      <c r="AL2" t="s">
        <v>814</v>
      </c>
      <c r="AM2" t="s">
        <v>820</v>
      </c>
      <c r="AN2" t="s">
        <v>821</v>
      </c>
      <c r="AO2" t="s">
        <v>822</v>
      </c>
      <c r="AP2" t="s">
        <v>823</v>
      </c>
      <c r="AQ2" t="s">
        <v>815</v>
      </c>
      <c r="AR2" t="s">
        <v>816</v>
      </c>
      <c r="AS2" t="s">
        <v>824</v>
      </c>
      <c r="AT2" t="s">
        <v>825</v>
      </c>
      <c r="AU2" t="s">
        <v>826</v>
      </c>
      <c r="AV2" t="s">
        <v>827</v>
      </c>
      <c r="AW2" t="s">
        <v>813</v>
      </c>
      <c r="AX2" t="s">
        <v>814</v>
      </c>
      <c r="AY2" t="s">
        <v>820</v>
      </c>
      <c r="AZ2" t="s">
        <v>821</v>
      </c>
      <c r="BA2" t="s">
        <v>822</v>
      </c>
      <c r="BB2" t="s">
        <v>823</v>
      </c>
      <c r="BC2" t="s">
        <v>815</v>
      </c>
      <c r="BD2" t="s">
        <v>816</v>
      </c>
      <c r="BE2" t="s">
        <v>824</v>
      </c>
      <c r="BF2" t="s">
        <v>825</v>
      </c>
      <c r="BG2" t="s">
        <v>826</v>
      </c>
      <c r="BH2" t="s">
        <v>827</v>
      </c>
      <c r="BI2" t="s">
        <v>813</v>
      </c>
      <c r="BJ2" t="s">
        <v>814</v>
      </c>
      <c r="BK2" t="s">
        <v>820</v>
      </c>
      <c r="BL2" t="s">
        <v>821</v>
      </c>
      <c r="BM2" t="s">
        <v>822</v>
      </c>
      <c r="BN2" t="s">
        <v>823</v>
      </c>
      <c r="BO2" t="s">
        <v>815</v>
      </c>
      <c r="BP2" t="s">
        <v>816</v>
      </c>
      <c r="BQ2" t="s">
        <v>824</v>
      </c>
      <c r="BR2" t="s">
        <v>825</v>
      </c>
      <c r="BS2" t="s">
        <v>826</v>
      </c>
      <c r="BT2" t="s">
        <v>827</v>
      </c>
      <c r="BU2" t="s">
        <v>813</v>
      </c>
      <c r="BV2" t="s">
        <v>814</v>
      </c>
      <c r="BW2" t="s">
        <v>820</v>
      </c>
      <c r="BX2" t="s">
        <v>821</v>
      </c>
      <c r="BY2" t="s">
        <v>822</v>
      </c>
      <c r="BZ2" t="s">
        <v>823</v>
      </c>
      <c r="CA2" t="s">
        <v>815</v>
      </c>
      <c r="CB2" t="s">
        <v>816</v>
      </c>
      <c r="CC2" t="s">
        <v>824</v>
      </c>
      <c r="CD2" t="s">
        <v>825</v>
      </c>
      <c r="CE2" t="s">
        <v>826</v>
      </c>
      <c r="CF2" t="s">
        <v>827</v>
      </c>
      <c r="CG2" t="s">
        <v>839</v>
      </c>
      <c r="CH2" t="s">
        <v>840</v>
      </c>
      <c r="CI2" t="s">
        <v>842</v>
      </c>
      <c r="CJ2" t="s">
        <v>843</v>
      </c>
      <c r="CK2" t="s">
        <v>844</v>
      </c>
      <c r="CL2" t="s">
        <v>845</v>
      </c>
      <c r="CM2" t="s">
        <v>846</v>
      </c>
      <c r="CN2" t="s">
        <v>847</v>
      </c>
      <c r="CO2" t="s">
        <v>848</v>
      </c>
      <c r="CP2" t="s">
        <v>849</v>
      </c>
      <c r="CQ2" t="s">
        <v>850</v>
      </c>
      <c r="CR2" t="s">
        <v>851</v>
      </c>
      <c r="CS2" t="s">
        <v>852</v>
      </c>
      <c r="CT2" t="s">
        <v>853</v>
      </c>
      <c r="CU2" t="s">
        <v>854</v>
      </c>
      <c r="CV2" t="s">
        <v>855</v>
      </c>
      <c r="CW2" t="s">
        <v>856</v>
      </c>
      <c r="CX2" t="s">
        <v>857</v>
      </c>
      <c r="CY2" t="s">
        <v>858</v>
      </c>
      <c r="CZ2" t="s">
        <v>859</v>
      </c>
      <c r="DA2" t="s">
        <v>860</v>
      </c>
      <c r="DB2" t="s">
        <v>839</v>
      </c>
      <c r="DC2" t="s">
        <v>840</v>
      </c>
      <c r="DD2" t="s">
        <v>842</v>
      </c>
      <c r="DE2" t="s">
        <v>843</v>
      </c>
      <c r="DF2" t="s">
        <v>844</v>
      </c>
      <c r="DG2" t="s">
        <v>845</v>
      </c>
      <c r="DH2" t="s">
        <v>846</v>
      </c>
      <c r="DI2" t="s">
        <v>847</v>
      </c>
      <c r="DJ2" t="s">
        <v>848</v>
      </c>
      <c r="DK2" t="s">
        <v>849</v>
      </c>
      <c r="DL2" t="s">
        <v>850</v>
      </c>
      <c r="DM2" t="s">
        <v>851</v>
      </c>
      <c r="DN2" t="s">
        <v>852</v>
      </c>
      <c r="DO2" t="s">
        <v>853</v>
      </c>
      <c r="DP2" t="s">
        <v>854</v>
      </c>
      <c r="DQ2" t="s">
        <v>855</v>
      </c>
      <c r="DR2" t="s">
        <v>856</v>
      </c>
      <c r="DS2" t="s">
        <v>857</v>
      </c>
      <c r="DT2" t="s">
        <v>858</v>
      </c>
      <c r="DU2" t="s">
        <v>859</v>
      </c>
      <c r="DV2" t="s">
        <v>860</v>
      </c>
    </row>
    <row r="3" spans="1:126">
      <c r="A3">
        <v>687637</v>
      </c>
      <c r="B3">
        <v>0</v>
      </c>
      <c r="C3">
        <v>748.85564498167514</v>
      </c>
      <c r="D3">
        <v>1.6043354221172635E-2</v>
      </c>
      <c r="E3">
        <v>46677</v>
      </c>
      <c r="F3">
        <v>0.48590797874453362</v>
      </c>
      <c r="G3">
        <v>696645</v>
      </c>
      <c r="H3">
        <v>0</v>
      </c>
      <c r="I3">
        <v>414.43096832613355</v>
      </c>
      <c r="J3">
        <v>7.3543258149867535E-3</v>
      </c>
      <c r="K3">
        <v>56352</v>
      </c>
      <c r="L3">
        <v>1.3590755211841985</v>
      </c>
      <c r="M3">
        <v>687637</v>
      </c>
      <c r="N3">
        <v>0</v>
      </c>
      <c r="O3">
        <v>756.41214391500102</v>
      </c>
      <c r="P3">
        <v>1.6450179285698772E-2</v>
      </c>
      <c r="Q3">
        <v>45982</v>
      </c>
      <c r="R3">
        <v>0.48583049624374008</v>
      </c>
      <c r="S3">
        <v>696645</v>
      </c>
      <c r="T3">
        <v>0</v>
      </c>
      <c r="U3">
        <v>403.47041756159274</v>
      </c>
      <c r="V3">
        <v>7.429983933881972E-3</v>
      </c>
      <c r="W3">
        <v>54303</v>
      </c>
      <c r="X3">
        <v>1.3216820994831748</v>
      </c>
      <c r="Y3">
        <v>687637</v>
      </c>
      <c r="Z3">
        <v>0</v>
      </c>
      <c r="AA3">
        <v>747.49199999999973</v>
      </c>
      <c r="AB3">
        <v>1.5892250451791212E-2</v>
      </c>
      <c r="AC3">
        <v>47035</v>
      </c>
      <c r="AD3">
        <v>0.48592951084269936</v>
      </c>
      <c r="AE3">
        <v>696645</v>
      </c>
      <c r="AF3">
        <v>0</v>
      </c>
      <c r="AG3">
        <v>417.56712328767173</v>
      </c>
      <c r="AH3">
        <v>7.2190989814956558E-3</v>
      </c>
      <c r="AI3">
        <v>57842</v>
      </c>
      <c r="AJ3">
        <v>1.3697813406990929</v>
      </c>
      <c r="AK3">
        <v>687637</v>
      </c>
      <c r="AL3">
        <v>0</v>
      </c>
      <c r="AM3">
        <v>758.87133280574017</v>
      </c>
      <c r="AN3">
        <v>1.6433256086224046E-2</v>
      </c>
      <c r="AO3">
        <v>46179</v>
      </c>
      <c r="AP3">
        <v>0.4858248094604497</v>
      </c>
      <c r="AQ3">
        <v>696645</v>
      </c>
      <c r="AR3">
        <v>0</v>
      </c>
      <c r="AS3">
        <v>402.76603237361741</v>
      </c>
      <c r="AT3">
        <v>7.2933150871653156E-3</v>
      </c>
      <c r="AU3">
        <v>55224</v>
      </c>
      <c r="AV3">
        <v>1.319280201158096</v>
      </c>
      <c r="AW3">
        <v>687637</v>
      </c>
      <c r="AX3">
        <v>0</v>
      </c>
      <c r="AY3">
        <v>747.49199999999973</v>
      </c>
      <c r="AZ3">
        <v>1.5931541592958072E-2</v>
      </c>
      <c r="BA3">
        <v>46919</v>
      </c>
      <c r="BB3">
        <v>0.48592951084269936</v>
      </c>
      <c r="BC3">
        <v>696645</v>
      </c>
      <c r="BD3">
        <v>0</v>
      </c>
      <c r="BE3">
        <v>417.56712328767173</v>
      </c>
      <c r="BF3">
        <v>7.2980831111519812E-3</v>
      </c>
      <c r="BG3">
        <v>57216</v>
      </c>
      <c r="BH3">
        <v>1.3697813406990929</v>
      </c>
      <c r="BI3">
        <v>687637</v>
      </c>
      <c r="BJ3">
        <v>0</v>
      </c>
      <c r="BK3">
        <v>747.49199999999973</v>
      </c>
      <c r="BL3">
        <v>1.5991186034571277E-2</v>
      </c>
      <c r="BM3">
        <v>46744</v>
      </c>
      <c r="BN3">
        <v>0.48592951084269936</v>
      </c>
      <c r="BO3">
        <v>696645</v>
      </c>
      <c r="BP3">
        <v>0</v>
      </c>
      <c r="BQ3">
        <v>417.56712328767173</v>
      </c>
      <c r="BR3">
        <v>7.4333266272838764E-3</v>
      </c>
      <c r="BS3">
        <v>56175</v>
      </c>
      <c r="BT3">
        <v>1.3697813406990929</v>
      </c>
      <c r="BU3">
        <v>687637</v>
      </c>
      <c r="BV3">
        <v>0</v>
      </c>
      <c r="BW3">
        <v>756.50627264126047</v>
      </c>
      <c r="BX3">
        <v>1.6293830852296205E-2</v>
      </c>
      <c r="BY3">
        <v>46429</v>
      </c>
      <c r="BZ3">
        <v>0.48585021464088479</v>
      </c>
      <c r="CA3">
        <v>696645</v>
      </c>
      <c r="CB3">
        <v>0</v>
      </c>
      <c r="CC3">
        <v>406.44970469839421</v>
      </c>
      <c r="CD3">
        <v>7.2501329747666687E-3</v>
      </c>
      <c r="CE3">
        <v>56061</v>
      </c>
      <c r="CF3">
        <v>1.3318428633244963</v>
      </c>
      <c r="CG3">
        <v>687637</v>
      </c>
      <c r="CH3">
        <v>2</v>
      </c>
      <c r="CI3">
        <v>0</v>
      </c>
      <c r="CJ3">
        <v>0</v>
      </c>
      <c r="CK3">
        <v>0</v>
      </c>
      <c r="CL3">
        <v>3.4122112685266637</v>
      </c>
      <c r="CM3">
        <v>0</v>
      </c>
      <c r="CN3">
        <v>751.46281404679576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696645</v>
      </c>
      <c r="DC3">
        <v>1</v>
      </c>
      <c r="DD3">
        <v>0</v>
      </c>
      <c r="DE3">
        <v>1.6561643835616868</v>
      </c>
      <c r="DF3">
        <v>3.1520547945205935</v>
      </c>
      <c r="DG3">
        <v>4.8616438356164249</v>
      </c>
      <c r="DH3">
        <v>4.9150684931507431</v>
      </c>
      <c r="DI3">
        <v>4.9150684931507431</v>
      </c>
      <c r="DJ3">
        <v>398.06712328767134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</row>
    <row r="4" spans="1:126">
      <c r="A4">
        <v>687638</v>
      </c>
      <c r="B4">
        <v>0.17053524535894926</v>
      </c>
      <c r="C4">
        <v>747.12525212000753</v>
      </c>
      <c r="D4">
        <v>1.6006282582856815E-2</v>
      </c>
      <c r="E4" t="s">
        <v>828</v>
      </c>
      <c r="F4">
        <v>7.5013197741897922E-2</v>
      </c>
      <c r="G4">
        <v>696646</v>
      </c>
      <c r="H4">
        <v>0</v>
      </c>
      <c r="I4">
        <v>56.295014790043822</v>
      </c>
      <c r="J4">
        <v>9.9898876330997699E-4</v>
      </c>
      <c r="K4" t="s">
        <v>829</v>
      </c>
      <c r="L4">
        <v>0.41557858542756232</v>
      </c>
      <c r="M4">
        <v>687638</v>
      </c>
      <c r="N4">
        <v>1.437713327550763</v>
      </c>
      <c r="O4">
        <v>747.27163142075312</v>
      </c>
      <c r="P4">
        <v>1.6251394707075664E-2</v>
      </c>
      <c r="Q4" t="s">
        <v>828</v>
      </c>
      <c r="R4">
        <v>7.4969751223272194E-2</v>
      </c>
      <c r="S4">
        <v>696646</v>
      </c>
      <c r="T4">
        <v>0</v>
      </c>
      <c r="U4">
        <v>55.83098954703425</v>
      </c>
      <c r="V4">
        <v>1.0281382160660414E-3</v>
      </c>
      <c r="W4" t="s">
        <v>829</v>
      </c>
      <c r="X4">
        <v>0.41212336862328475</v>
      </c>
      <c r="Y4">
        <v>687638</v>
      </c>
      <c r="Z4">
        <v>6.3358904109491299E-2</v>
      </c>
      <c r="AA4">
        <v>747.11593424657485</v>
      </c>
      <c r="AB4">
        <v>1.5884255006836927E-2</v>
      </c>
      <c r="AC4" t="s">
        <v>828</v>
      </c>
      <c r="AD4">
        <v>7.5025042291835972E-2</v>
      </c>
      <c r="AE4">
        <v>696646</v>
      </c>
      <c r="AF4">
        <v>0</v>
      </c>
      <c r="AG4">
        <v>56.371232876712341</v>
      </c>
      <c r="AH4">
        <v>9.7457267861955567E-4</v>
      </c>
      <c r="AI4" t="s">
        <v>829</v>
      </c>
      <c r="AJ4">
        <v>0.41614614801552646</v>
      </c>
      <c r="AK4">
        <v>687638</v>
      </c>
      <c r="AL4">
        <v>2.0365005928086788</v>
      </c>
      <c r="AM4">
        <v>747.34573595817039</v>
      </c>
      <c r="AN4">
        <v>1.6183670845149753E-2</v>
      </c>
      <c r="AO4" t="s">
        <v>828</v>
      </c>
      <c r="AP4">
        <v>7.4962510394544768E-2</v>
      </c>
      <c r="AQ4">
        <v>696646</v>
      </c>
      <c r="AR4">
        <v>0</v>
      </c>
      <c r="AS4">
        <v>55.669596250593727</v>
      </c>
      <c r="AT4">
        <v>1.0080688876320752E-3</v>
      </c>
      <c r="AU4" t="s">
        <v>829</v>
      </c>
      <c r="AV4">
        <v>0.41092167558284515</v>
      </c>
      <c r="AW4">
        <v>687638</v>
      </c>
      <c r="AX4">
        <v>6.3358904109491299E-2</v>
      </c>
      <c r="AY4">
        <v>747.11593424657485</v>
      </c>
      <c r="AZ4">
        <v>1.5923526380497769E-2</v>
      </c>
      <c r="BA4" t="s">
        <v>828</v>
      </c>
      <c r="BB4">
        <v>7.5025042291835972E-2</v>
      </c>
      <c r="BC4">
        <v>696646</v>
      </c>
      <c r="BD4">
        <v>0</v>
      </c>
      <c r="BE4">
        <v>56.371232876712341</v>
      </c>
      <c r="BF4">
        <v>9.8523547393582819E-4</v>
      </c>
      <c r="BG4" t="s">
        <v>829</v>
      </c>
      <c r="BH4">
        <v>0.41614614801552646</v>
      </c>
      <c r="BI4">
        <v>687638</v>
      </c>
      <c r="BJ4">
        <v>6.3358904109491299E-2</v>
      </c>
      <c r="BK4">
        <v>747.11593424657485</v>
      </c>
      <c r="BL4">
        <v>1.5983140814790665E-2</v>
      </c>
      <c r="BM4" t="s">
        <v>828</v>
      </c>
      <c r="BN4">
        <v>7.5025042291835972E-2</v>
      </c>
      <c r="BO4">
        <v>696646</v>
      </c>
      <c r="BP4">
        <v>0</v>
      </c>
      <c r="BQ4">
        <v>56.371232876712341</v>
      </c>
      <c r="BR4">
        <v>1.0034932421310609E-3</v>
      </c>
      <c r="BS4" t="s">
        <v>829</v>
      </c>
      <c r="BT4">
        <v>0.41614614801552646</v>
      </c>
      <c r="BU4">
        <v>687638</v>
      </c>
      <c r="BV4">
        <v>1.6528669905674018</v>
      </c>
      <c r="BW4">
        <v>747.30194075659381</v>
      </c>
      <c r="BX4">
        <v>1.6095585533967862E-2</v>
      </c>
      <c r="BY4" t="s">
        <v>828</v>
      </c>
      <c r="BZ4">
        <v>7.4976493964980684E-2</v>
      </c>
      <c r="CA4">
        <v>696646</v>
      </c>
      <c r="CB4">
        <v>0</v>
      </c>
      <c r="CC4">
        <v>55.814010200788644</v>
      </c>
      <c r="CD4">
        <v>9.9559426697327274E-4</v>
      </c>
      <c r="CE4" t="s">
        <v>829</v>
      </c>
      <c r="CF4">
        <v>0.41199694304083484</v>
      </c>
      <c r="CG4">
        <v>687638</v>
      </c>
      <c r="CH4">
        <v>2</v>
      </c>
      <c r="CI4">
        <v>0</v>
      </c>
      <c r="CJ4">
        <v>753.12520183132688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696646</v>
      </c>
      <c r="DC4">
        <v>1</v>
      </c>
      <c r="DD4">
        <v>0</v>
      </c>
      <c r="DE4">
        <v>0</v>
      </c>
      <c r="DF4">
        <v>0.67808219178082219</v>
      </c>
      <c r="DG4">
        <v>55.693150684931517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</row>
    <row r="5" spans="1:126">
      <c r="A5">
        <v>724000</v>
      </c>
      <c r="B5">
        <v>0</v>
      </c>
      <c r="C5">
        <v>209.04522677086752</v>
      </c>
      <c r="D5">
        <v>4.4785488949775588E-3</v>
      </c>
      <c r="E5">
        <v>1743.2060372938049</v>
      </c>
      <c r="F5">
        <v>0.83302377670089867</v>
      </c>
      <c r="G5">
        <v>699803</v>
      </c>
      <c r="H5">
        <v>0.7006849315068675</v>
      </c>
      <c r="I5">
        <v>168.7941222470435</v>
      </c>
      <c r="J5">
        <v>2.9953528223850708E-3</v>
      </c>
      <c r="K5">
        <v>3175.4977558307323</v>
      </c>
      <c r="L5">
        <v>0.48728476179438412</v>
      </c>
      <c r="M5">
        <v>724000</v>
      </c>
      <c r="N5">
        <v>0</v>
      </c>
      <c r="O5">
        <v>205.6204036489892</v>
      </c>
      <c r="P5">
        <v>4.4717585935581143E-3</v>
      </c>
      <c r="Q5">
        <v>1757.1930813058145</v>
      </c>
      <c r="R5">
        <v>0.81898443249996433</v>
      </c>
      <c r="S5">
        <v>699803</v>
      </c>
      <c r="T5">
        <v>0.7006849315068675</v>
      </c>
      <c r="U5">
        <v>167.16508851374724</v>
      </c>
      <c r="V5">
        <v>3.0783766737334443E-3</v>
      </c>
      <c r="W5">
        <v>3234.3372599160161</v>
      </c>
      <c r="X5">
        <v>0.48252340867518451</v>
      </c>
      <c r="Y5">
        <v>724000</v>
      </c>
      <c r="Z5">
        <v>0</v>
      </c>
      <c r="AA5">
        <v>210.00000000000014</v>
      </c>
      <c r="AB5">
        <v>4.4647602848942305E-3</v>
      </c>
      <c r="AC5">
        <v>1742.1045696115079</v>
      </c>
      <c r="AD5">
        <v>0.83693858403703569</v>
      </c>
      <c r="AE5">
        <v>699803</v>
      </c>
      <c r="AF5">
        <v>0.7006849315068675</v>
      </c>
      <c r="AG5">
        <v>169.09109589041097</v>
      </c>
      <c r="AH5">
        <v>2.92332726894663E-3</v>
      </c>
      <c r="AI5">
        <v>3171.0512234115072</v>
      </c>
      <c r="AJ5">
        <v>0.48815281818970707</v>
      </c>
      <c r="AK5">
        <v>724000</v>
      </c>
      <c r="AL5">
        <v>0</v>
      </c>
      <c r="AM5">
        <v>204.90267601056945</v>
      </c>
      <c r="AN5">
        <v>4.437139739071211E-3</v>
      </c>
      <c r="AO5">
        <v>1763.8052286776856</v>
      </c>
      <c r="AP5">
        <v>0.8160429167426918</v>
      </c>
      <c r="AQ5">
        <v>699803</v>
      </c>
      <c r="AR5">
        <v>0.7006849315068675</v>
      </c>
      <c r="AS5">
        <v>166.63973015172297</v>
      </c>
      <c r="AT5">
        <v>3.0175237243177419E-3</v>
      </c>
      <c r="AU5">
        <v>3257.6513898445373</v>
      </c>
      <c r="AV5">
        <v>0.48098800527591601</v>
      </c>
      <c r="AW5">
        <v>724000</v>
      </c>
      <c r="AX5">
        <v>0</v>
      </c>
      <c r="AY5">
        <v>210.00000000000014</v>
      </c>
      <c r="AZ5">
        <v>4.4757987169377041E-3</v>
      </c>
      <c r="BA5">
        <v>1742.1045696115079</v>
      </c>
      <c r="BB5">
        <v>0.83693858403703569</v>
      </c>
      <c r="BC5">
        <v>699803</v>
      </c>
      <c r="BD5">
        <v>0.7006849315068675</v>
      </c>
      <c r="BE5">
        <v>169.09109589041097</v>
      </c>
      <c r="BF5">
        <v>2.9553113795164109E-3</v>
      </c>
      <c r="BG5">
        <v>3171.0512234115072</v>
      </c>
      <c r="BH5">
        <v>0.48815281818970707</v>
      </c>
      <c r="BI5">
        <v>724000</v>
      </c>
      <c r="BJ5">
        <v>0</v>
      </c>
      <c r="BK5">
        <v>210.00000000000014</v>
      </c>
      <c r="BL5">
        <v>4.4925551942495328E-3</v>
      </c>
      <c r="BM5">
        <v>1742.1045696115079</v>
      </c>
      <c r="BN5">
        <v>0.83693858403703569</v>
      </c>
      <c r="BO5">
        <v>699803</v>
      </c>
      <c r="BP5">
        <v>0.7006849315068675</v>
      </c>
      <c r="BQ5">
        <v>169.09109589041097</v>
      </c>
      <c r="BR5">
        <v>3.0100773634252065E-3</v>
      </c>
      <c r="BS5">
        <v>3171.0512234115072</v>
      </c>
      <c r="BT5">
        <v>0.48815281818970707</v>
      </c>
      <c r="BU5">
        <v>724000</v>
      </c>
      <c r="BV5">
        <v>0</v>
      </c>
      <c r="BW5">
        <v>206.0076462655683</v>
      </c>
      <c r="BX5">
        <v>4.4370468083647788E-3</v>
      </c>
      <c r="BY5">
        <v>1759.6153824211767</v>
      </c>
      <c r="BZ5">
        <v>0.820571592682938</v>
      </c>
      <c r="CA5">
        <v>699803</v>
      </c>
      <c r="CB5">
        <v>0.7006849315068675</v>
      </c>
      <c r="CC5">
        <v>167.14999105738752</v>
      </c>
      <c r="CD5">
        <v>2.9815734834802718E-3</v>
      </c>
      <c r="CE5">
        <v>3241.0329290720424</v>
      </c>
      <c r="CF5">
        <v>0.48247928429754611</v>
      </c>
      <c r="CG5">
        <v>724000</v>
      </c>
      <c r="CH5">
        <v>2</v>
      </c>
      <c r="CI5">
        <v>0</v>
      </c>
      <c r="CJ5">
        <v>0</v>
      </c>
      <c r="CK5">
        <v>2.5205479452055091</v>
      </c>
      <c r="CL5">
        <v>2.4383561643835705</v>
      </c>
      <c r="CM5">
        <v>2.5205479452055091</v>
      </c>
      <c r="CN5">
        <v>202.52054794520552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699803</v>
      </c>
      <c r="DC5">
        <v>3</v>
      </c>
      <c r="DD5">
        <v>0</v>
      </c>
      <c r="DE5">
        <v>0.7006849315068675</v>
      </c>
      <c r="DF5">
        <v>1.3335616438356357</v>
      </c>
      <c r="DG5">
        <v>167.05684931506849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</row>
    <row r="6" spans="1:126">
      <c r="A6">
        <v>724002</v>
      </c>
      <c r="B6">
        <v>5.0958904109590364</v>
      </c>
      <c r="C6">
        <v>1303.7283866981222</v>
      </c>
      <c r="D6">
        <v>2.7930852169122312E-2</v>
      </c>
      <c r="E6" t="s">
        <v>817</v>
      </c>
      <c r="F6">
        <v>1.7610469452500994</v>
      </c>
      <c r="G6">
        <v>699804</v>
      </c>
      <c r="H6">
        <v>0</v>
      </c>
      <c r="I6">
        <v>831.81190077854103</v>
      </c>
      <c r="J6">
        <v>1.4761000510692452E-2</v>
      </c>
      <c r="K6" t="s">
        <v>818</v>
      </c>
      <c r="L6">
        <v>1.4380840235224033</v>
      </c>
      <c r="M6">
        <v>724002</v>
      </c>
      <c r="N6">
        <v>5.0958904109590364</v>
      </c>
      <c r="O6">
        <v>1259.4166508257138</v>
      </c>
      <c r="P6">
        <v>2.7389340412024569E-2</v>
      </c>
      <c r="Q6" t="s">
        <v>817</v>
      </c>
      <c r="R6">
        <v>1.6976745519519205</v>
      </c>
      <c r="S6">
        <v>699804</v>
      </c>
      <c r="T6">
        <v>0</v>
      </c>
      <c r="U6">
        <v>808.56860732360371</v>
      </c>
      <c r="V6">
        <v>1.4889943600235782E-2</v>
      </c>
      <c r="W6" t="s">
        <v>818</v>
      </c>
      <c r="X6">
        <v>1.3964759624460181</v>
      </c>
      <c r="Y6">
        <v>724002</v>
      </c>
      <c r="Z6">
        <v>5.0958904109590364</v>
      </c>
      <c r="AA6">
        <v>1315.0684931506869</v>
      </c>
      <c r="AB6">
        <v>2.7959359905404206E-2</v>
      </c>
      <c r="AC6" t="s">
        <v>817</v>
      </c>
      <c r="AD6">
        <v>1.7772811643835607</v>
      </c>
      <c r="AE6">
        <v>699804</v>
      </c>
      <c r="AF6">
        <v>0</v>
      </c>
      <c r="AG6">
        <v>838.33972602739789</v>
      </c>
      <c r="AH6">
        <v>1.4493615815971058E-2</v>
      </c>
      <c r="AI6" t="s">
        <v>818</v>
      </c>
      <c r="AJ6">
        <v>1.4497770437078141</v>
      </c>
      <c r="AK6">
        <v>724002</v>
      </c>
      <c r="AL6">
        <v>5.0958904109590364</v>
      </c>
      <c r="AM6">
        <v>1261.3748842057953</v>
      </c>
      <c r="AN6">
        <v>2.7314902535910162E-2</v>
      </c>
      <c r="AO6" t="s">
        <v>817</v>
      </c>
      <c r="AP6">
        <v>1.7004729522249655</v>
      </c>
      <c r="AQ6">
        <v>699804</v>
      </c>
      <c r="AR6">
        <v>0</v>
      </c>
      <c r="AS6">
        <v>807.53305285183956</v>
      </c>
      <c r="AT6">
        <v>1.4622864204908003E-2</v>
      </c>
      <c r="AU6" t="s">
        <v>818</v>
      </c>
      <c r="AV6">
        <v>1.3946231908055635</v>
      </c>
      <c r="AW6">
        <v>724002</v>
      </c>
      <c r="AX6">
        <v>5.0958904109590364</v>
      </c>
      <c r="AY6">
        <v>1315.0684931506869</v>
      </c>
      <c r="AZ6">
        <v>2.8028485115852573E-2</v>
      </c>
      <c r="BA6" t="s">
        <v>817</v>
      </c>
      <c r="BB6">
        <v>1.7772811643835607</v>
      </c>
      <c r="BC6">
        <v>699804</v>
      </c>
      <c r="BD6">
        <v>0</v>
      </c>
      <c r="BE6">
        <v>838.33972602739789</v>
      </c>
      <c r="BF6">
        <v>1.4652190401765203E-2</v>
      </c>
      <c r="BG6" t="s">
        <v>818</v>
      </c>
      <c r="BH6">
        <v>1.4497770437078141</v>
      </c>
      <c r="BI6">
        <v>724002</v>
      </c>
      <c r="BJ6">
        <v>5.0958904109590364</v>
      </c>
      <c r="BK6">
        <v>1315.0684931506869</v>
      </c>
      <c r="BL6">
        <v>2.8133418046181049E-2</v>
      </c>
      <c r="BM6" t="s">
        <v>817</v>
      </c>
      <c r="BN6">
        <v>1.7772811643835607</v>
      </c>
      <c r="BO6">
        <v>699804</v>
      </c>
      <c r="BP6">
        <v>0</v>
      </c>
      <c r="BQ6">
        <v>838.33972602739789</v>
      </c>
      <c r="BR6">
        <v>1.4923715639117008E-2</v>
      </c>
      <c r="BS6" t="s">
        <v>818</v>
      </c>
      <c r="BT6">
        <v>1.4497770437078141</v>
      </c>
      <c r="BU6">
        <v>724002</v>
      </c>
      <c r="BV6">
        <v>5.0958904109590364</v>
      </c>
      <c r="BW6">
        <v>1276.7815638022598</v>
      </c>
      <c r="BX6">
        <v>2.7499656761986256E-2</v>
      </c>
      <c r="BY6" t="s">
        <v>817</v>
      </c>
      <c r="BZ6">
        <v>1.7224968158867142</v>
      </c>
      <c r="CA6">
        <v>699804</v>
      </c>
      <c r="CB6">
        <v>0</v>
      </c>
      <c r="CC6">
        <v>815.39116909898212</v>
      </c>
      <c r="CD6">
        <v>1.4544713242699597E-2</v>
      </c>
      <c r="CE6" t="s">
        <v>818</v>
      </c>
      <c r="CF6">
        <v>1.408684729431066</v>
      </c>
      <c r="CG6">
        <v>724002</v>
      </c>
      <c r="CH6">
        <v>2</v>
      </c>
      <c r="CI6">
        <v>0</v>
      </c>
      <c r="CJ6">
        <v>5.0958904109590364</v>
      </c>
      <c r="CK6">
        <v>9.6986301369864414</v>
      </c>
      <c r="CL6">
        <v>15.123287671233054</v>
      </c>
      <c r="CM6">
        <v>15.123287671233054</v>
      </c>
      <c r="CN6">
        <v>14.958904109589</v>
      </c>
      <c r="CO6">
        <v>29.917808219178532</v>
      </c>
      <c r="CP6">
        <v>1225.1506849315072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699804</v>
      </c>
      <c r="DC6">
        <v>3</v>
      </c>
      <c r="DD6">
        <v>0</v>
      </c>
      <c r="DE6">
        <v>0</v>
      </c>
      <c r="DF6">
        <v>9.6164383561643874</v>
      </c>
      <c r="DG6">
        <v>9.7232876712328498</v>
      </c>
      <c r="DH6">
        <v>9.8301369863014862</v>
      </c>
      <c r="DI6">
        <v>9.8301369863014862</v>
      </c>
      <c r="DJ6">
        <v>799.33972602739732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</row>
    <row r="7" spans="1:126">
      <c r="A7">
        <v>730197</v>
      </c>
      <c r="B7">
        <v>273</v>
      </c>
      <c r="C7">
        <v>272.97972178748165</v>
      </c>
      <c r="D7">
        <v>5.8482704926940817E-3</v>
      </c>
      <c r="E7">
        <v>12227.514105229899</v>
      </c>
      <c r="F7">
        <v>4.6571882889327489E-2</v>
      </c>
      <c r="G7">
        <v>743824</v>
      </c>
      <c r="H7">
        <v>0</v>
      </c>
      <c r="I7">
        <v>316.52092296231024</v>
      </c>
      <c r="J7">
        <v>5.6168534029370784E-3</v>
      </c>
      <c r="K7">
        <v>1432.2917185369274</v>
      </c>
      <c r="L7">
        <v>1.1761084964439283</v>
      </c>
      <c r="M7">
        <v>730197</v>
      </c>
      <c r="N7">
        <v>273</v>
      </c>
      <c r="O7">
        <v>272.72569480510072</v>
      </c>
      <c r="P7">
        <v>5.9311403332847788E-3</v>
      </c>
      <c r="Q7">
        <v>12163.306524498663</v>
      </c>
      <c r="R7">
        <v>4.6528544449805392E-2</v>
      </c>
      <c r="S7">
        <v>743824</v>
      </c>
      <c r="T7">
        <v>0</v>
      </c>
      <c r="U7">
        <v>309.24951769799225</v>
      </c>
      <c r="V7">
        <v>5.6948882694877311E-3</v>
      </c>
      <c r="W7">
        <v>1477.1441786102016</v>
      </c>
      <c r="X7">
        <v>1.1482889985963156</v>
      </c>
      <c r="Y7">
        <v>730197</v>
      </c>
      <c r="Z7">
        <v>273</v>
      </c>
      <c r="AA7">
        <v>273</v>
      </c>
      <c r="AB7">
        <v>5.8041883703624959E-3</v>
      </c>
      <c r="AC7">
        <v>12244.631675342469</v>
      </c>
      <c r="AD7">
        <v>4.6575342467123221E-2</v>
      </c>
      <c r="AE7">
        <v>743824</v>
      </c>
      <c r="AF7">
        <v>0</v>
      </c>
      <c r="AG7">
        <v>318.69863013698637</v>
      </c>
      <c r="AH7">
        <v>5.5098134597176161E-3</v>
      </c>
      <c r="AI7">
        <v>1428.9466537999992</v>
      </c>
      <c r="AJ7">
        <v>1.1844437969594848</v>
      </c>
      <c r="AK7">
        <v>730197</v>
      </c>
      <c r="AL7">
        <v>273</v>
      </c>
      <c r="AM7">
        <v>272.60324997835551</v>
      </c>
      <c r="AN7">
        <v>5.9031865128815154E-3</v>
      </c>
      <c r="AO7">
        <v>12156.173945888699</v>
      </c>
      <c r="AP7">
        <v>4.6507654670427265E-2</v>
      </c>
      <c r="AQ7">
        <v>743824</v>
      </c>
      <c r="AR7">
        <v>0</v>
      </c>
      <c r="AS7">
        <v>308.42252485757047</v>
      </c>
      <c r="AT7">
        <v>5.5849363475584972E-3</v>
      </c>
      <c r="AU7">
        <v>1493.8461611668517</v>
      </c>
      <c r="AV7">
        <v>1.1451262353423091</v>
      </c>
      <c r="AW7">
        <v>730197</v>
      </c>
      <c r="AX7">
        <v>273</v>
      </c>
      <c r="AY7">
        <v>273</v>
      </c>
      <c r="AZ7">
        <v>5.8185383320190111E-3</v>
      </c>
      <c r="BA7">
        <v>12244.631675342469</v>
      </c>
      <c r="BB7">
        <v>4.6575342467123221E-2</v>
      </c>
      <c r="BC7">
        <v>743824</v>
      </c>
      <c r="BD7">
        <v>0</v>
      </c>
      <c r="BE7">
        <v>318.69863013698637</v>
      </c>
      <c r="BF7">
        <v>5.5700963041279772E-3</v>
      </c>
      <c r="BG7">
        <v>1428.9466537999992</v>
      </c>
      <c r="BH7">
        <v>1.1844437969594848</v>
      </c>
      <c r="BI7">
        <v>730197</v>
      </c>
      <c r="BJ7">
        <v>273</v>
      </c>
      <c r="BK7">
        <v>273</v>
      </c>
      <c r="BL7">
        <v>5.8403217525243882E-3</v>
      </c>
      <c r="BM7">
        <v>12244.344043139055</v>
      </c>
      <c r="BN7">
        <v>4.6575342467123221E-2</v>
      </c>
      <c r="BO7">
        <v>743824</v>
      </c>
      <c r="BP7">
        <v>0</v>
      </c>
      <c r="BQ7">
        <v>318.69863013698637</v>
      </c>
      <c r="BR7">
        <v>5.6733178484554758E-3</v>
      </c>
      <c r="BS7">
        <v>1428.9466537999992</v>
      </c>
      <c r="BT7">
        <v>1.1844437969594848</v>
      </c>
      <c r="BU7">
        <v>730197</v>
      </c>
      <c r="BV7">
        <v>273</v>
      </c>
      <c r="BW7">
        <v>272.67977943625272</v>
      </c>
      <c r="BX7">
        <v>5.8730487289464063E-3</v>
      </c>
      <c r="BY7">
        <v>12173.682162018094</v>
      </c>
      <c r="BZ7">
        <v>4.6520711028395716E-2</v>
      </c>
      <c r="CA7">
        <v>743824</v>
      </c>
      <c r="CB7">
        <v>0</v>
      </c>
      <c r="CC7">
        <v>310.83140160836615</v>
      </c>
      <c r="CD7">
        <v>5.5445211752977322E-3</v>
      </c>
      <c r="CE7">
        <v>1481.4175466508657</v>
      </c>
      <c r="CF7">
        <v>1.1543394715442596</v>
      </c>
      <c r="CG7">
        <v>730197</v>
      </c>
      <c r="CH7">
        <v>2</v>
      </c>
      <c r="CI7">
        <v>0</v>
      </c>
      <c r="CJ7">
        <v>273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743824</v>
      </c>
      <c r="DC7">
        <v>3</v>
      </c>
      <c r="DD7">
        <v>0</v>
      </c>
      <c r="DE7">
        <v>0</v>
      </c>
      <c r="DF7">
        <v>3.6986301369863028</v>
      </c>
      <c r="DG7">
        <v>3.7397260273972499</v>
      </c>
      <c r="DH7">
        <v>3.7808219178082636</v>
      </c>
      <c r="DI7">
        <v>3.7808219178082636</v>
      </c>
      <c r="DJ7">
        <v>303.69863013698625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</row>
    <row r="8" spans="1:126">
      <c r="A8" s="104">
        <v>734304</v>
      </c>
      <c r="B8">
        <v>33.972602739726909</v>
      </c>
      <c r="C8">
        <v>8066.7150378520128</v>
      </c>
      <c r="D8">
        <v>0.1728199121162888</v>
      </c>
      <c r="F8">
        <v>8.7300183382872487E-2</v>
      </c>
      <c r="G8">
        <v>743826</v>
      </c>
      <c r="H8">
        <v>0</v>
      </c>
      <c r="I8">
        <v>2863.3922798475896</v>
      </c>
      <c r="J8">
        <v>5.0812611439657679E-2</v>
      </c>
      <c r="K8" t="s">
        <v>819</v>
      </c>
      <c r="L8">
        <v>2.2776209606481026</v>
      </c>
      <c r="M8" s="104">
        <v>734304</v>
      </c>
      <c r="N8">
        <v>33.972602739726909</v>
      </c>
      <c r="O8">
        <v>8052.6551700124382</v>
      </c>
      <c r="P8">
        <v>0.17512624874978119</v>
      </c>
      <c r="R8">
        <v>8.714681624998398E-2</v>
      </c>
      <c r="S8">
        <v>743826</v>
      </c>
      <c r="T8">
        <v>0</v>
      </c>
      <c r="U8">
        <v>2738.804666760087</v>
      </c>
      <c r="V8">
        <v>5.0435605155517871E-2</v>
      </c>
      <c r="W8" t="s">
        <v>819</v>
      </c>
      <c r="X8">
        <v>2.1729142101188645</v>
      </c>
      <c r="Y8" s="104">
        <v>734304</v>
      </c>
      <c r="Z8">
        <v>33.972602739726909</v>
      </c>
      <c r="AA8">
        <v>8067.9452054794547</v>
      </c>
      <c r="AB8">
        <v>0.17153067301965461</v>
      </c>
      <c r="AD8">
        <v>8.7313602244774149E-2</v>
      </c>
      <c r="AE8">
        <v>743826</v>
      </c>
      <c r="AF8">
        <v>0</v>
      </c>
      <c r="AG8">
        <v>2902.6767123287664</v>
      </c>
      <c r="AH8">
        <v>5.0182855231990016E-2</v>
      </c>
      <c r="AI8" t="s">
        <v>819</v>
      </c>
      <c r="AJ8">
        <v>2.3106918700556625</v>
      </c>
      <c r="AK8" s="104">
        <v>734304</v>
      </c>
      <c r="AL8">
        <v>33.972602739726909</v>
      </c>
      <c r="AM8">
        <v>8046.098986610129</v>
      </c>
      <c r="AN8">
        <v>0.17423718544381925</v>
      </c>
      <c r="AP8">
        <v>8.7075300491788118E-2</v>
      </c>
      <c r="AQ8">
        <v>743826</v>
      </c>
      <c r="AR8">
        <v>0</v>
      </c>
      <c r="AS8">
        <v>2758.4729171261351</v>
      </c>
      <c r="AT8">
        <v>4.9950617795272621E-2</v>
      </c>
      <c r="AU8" t="s">
        <v>819</v>
      </c>
      <c r="AV8">
        <v>2.1894258405390699</v>
      </c>
      <c r="AW8" s="104">
        <v>734304</v>
      </c>
      <c r="AX8">
        <v>33.972602739726909</v>
      </c>
      <c r="AY8">
        <v>8067.9452054794547</v>
      </c>
      <c r="AZ8">
        <v>0.17195475618575534</v>
      </c>
      <c r="BB8">
        <v>8.7313602244774149E-2</v>
      </c>
      <c r="BC8">
        <v>743826</v>
      </c>
      <c r="BD8">
        <v>0</v>
      </c>
      <c r="BE8">
        <v>2902.6767123287664</v>
      </c>
      <c r="BF8">
        <v>5.0731905626551423E-2</v>
      </c>
      <c r="BG8" t="s">
        <v>819</v>
      </c>
      <c r="BH8">
        <v>2.3106918700556625</v>
      </c>
      <c r="BI8" s="104">
        <v>734304</v>
      </c>
      <c r="BJ8">
        <v>33.972602739726909</v>
      </c>
      <c r="BK8">
        <v>8067.9452054794547</v>
      </c>
      <c r="BL8">
        <v>0.17259851971332052</v>
      </c>
      <c r="BN8">
        <v>8.7313602244774149E-2</v>
      </c>
      <c r="BO8">
        <v>743826</v>
      </c>
      <c r="BP8">
        <v>0</v>
      </c>
      <c r="BQ8">
        <v>2887.3980234910423</v>
      </c>
      <c r="BR8">
        <v>5.1400053822715487E-2</v>
      </c>
      <c r="BS8" t="s">
        <v>819</v>
      </c>
      <c r="BT8">
        <v>2.2978266974067614</v>
      </c>
      <c r="BU8" s="104">
        <v>734304</v>
      </c>
      <c r="BV8">
        <v>33.972602739726909</v>
      </c>
      <c r="BW8">
        <v>8050.3504737579497</v>
      </c>
      <c r="BX8">
        <v>0.17339056352189255</v>
      </c>
      <c r="BZ8">
        <v>8.7121676297945649E-2</v>
      </c>
      <c r="CA8">
        <v>743826</v>
      </c>
      <c r="CB8">
        <v>0</v>
      </c>
      <c r="CC8">
        <v>2803.4965942499502</v>
      </c>
      <c r="CD8">
        <v>5.0007966219831078E-2</v>
      </c>
      <c r="CE8" t="s">
        <v>819</v>
      </c>
      <c r="CF8">
        <v>2.2272492923070506</v>
      </c>
      <c r="CG8">
        <v>734304</v>
      </c>
      <c r="CH8">
        <v>4</v>
      </c>
      <c r="CI8">
        <v>33.972602739726909</v>
      </c>
      <c r="CJ8">
        <v>0</v>
      </c>
      <c r="CK8">
        <v>8033.9726027397273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743826</v>
      </c>
      <c r="DC8">
        <v>3</v>
      </c>
      <c r="DD8">
        <v>0</v>
      </c>
      <c r="DE8">
        <v>0</v>
      </c>
      <c r="DF8">
        <v>0</v>
      </c>
      <c r="DG8">
        <v>64.323287671232691</v>
      </c>
      <c r="DH8">
        <v>0</v>
      </c>
      <c r="DI8">
        <v>64.67671232876684</v>
      </c>
      <c r="DJ8">
        <v>64.323287671232691</v>
      </c>
      <c r="DK8">
        <v>64.67671232876684</v>
      </c>
      <c r="DL8">
        <v>2644.6767123287668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</row>
    <row r="9" spans="1:126">
      <c r="A9">
        <v>772536</v>
      </c>
      <c r="B9">
        <v>0</v>
      </c>
      <c r="C9">
        <v>80.128286183322956</v>
      </c>
      <c r="D9">
        <v>1.7166545875553904E-3</v>
      </c>
      <c r="F9">
        <v>0.25230343047369097</v>
      </c>
      <c r="G9">
        <v>758934</v>
      </c>
      <c r="H9">
        <v>0</v>
      </c>
      <c r="I9">
        <v>443.97646841295636</v>
      </c>
      <c r="J9">
        <v>7.8786284144831843E-3</v>
      </c>
      <c r="K9">
        <v>8.5370277206658631</v>
      </c>
      <c r="L9">
        <v>2.2637826519808097</v>
      </c>
      <c r="M9">
        <v>772536</v>
      </c>
      <c r="N9">
        <v>0</v>
      </c>
      <c r="O9">
        <v>80.519552263226018</v>
      </c>
      <c r="P9">
        <v>1.7511102662612766E-3</v>
      </c>
      <c r="R9">
        <v>0.25229313414414023</v>
      </c>
      <c r="S9">
        <v>758934</v>
      </c>
      <c r="T9">
        <v>0</v>
      </c>
      <c r="U9">
        <v>424.77581685083436</v>
      </c>
      <c r="V9">
        <v>7.8223268852703233E-3</v>
      </c>
      <c r="W9">
        <v>8.2343394102143321</v>
      </c>
      <c r="X9">
        <v>2.1592258987419437</v>
      </c>
      <c r="Y9">
        <v>772536</v>
      </c>
      <c r="Z9">
        <v>0</v>
      </c>
      <c r="AA9">
        <v>80.08</v>
      </c>
      <c r="AB9">
        <v>1.7025619219729988E-3</v>
      </c>
      <c r="AD9">
        <v>0.25230591589945095</v>
      </c>
      <c r="AE9">
        <v>758934</v>
      </c>
      <c r="AF9">
        <v>0</v>
      </c>
      <c r="AG9">
        <v>450.02739726027426</v>
      </c>
      <c r="AH9">
        <v>7.780287632866676E-3</v>
      </c>
      <c r="AI9">
        <v>8.568991461493896</v>
      </c>
      <c r="AJ9">
        <v>2.2967894200474044</v>
      </c>
      <c r="AK9">
        <v>772536</v>
      </c>
      <c r="AL9">
        <v>0</v>
      </c>
      <c r="AM9">
        <v>80.67833898120162</v>
      </c>
      <c r="AN9">
        <v>1.7470785201325629E-3</v>
      </c>
      <c r="AP9">
        <v>0.25229052896285026</v>
      </c>
      <c r="AQ9">
        <v>758934</v>
      </c>
      <c r="AR9">
        <v>0</v>
      </c>
      <c r="AS9">
        <v>427.80092994865453</v>
      </c>
      <c r="AT9">
        <v>7.7466487387486335E-3</v>
      </c>
      <c r="AU9">
        <v>8.1375005418184703</v>
      </c>
      <c r="AV9">
        <v>2.1756805701287099</v>
      </c>
      <c r="AW9">
        <v>772536</v>
      </c>
      <c r="AX9">
        <v>0</v>
      </c>
      <c r="AY9">
        <v>80.08</v>
      </c>
      <c r="AZ9">
        <v>1.70677124405891E-3</v>
      </c>
      <c r="BB9">
        <v>0.25230591589945095</v>
      </c>
      <c r="BC9">
        <v>758934</v>
      </c>
      <c r="BD9">
        <v>0</v>
      </c>
      <c r="BE9">
        <v>450.02739726027426</v>
      </c>
      <c r="BF9">
        <v>7.8654117250467389E-3</v>
      </c>
      <c r="BG9">
        <v>8.568991461493896</v>
      </c>
      <c r="BH9">
        <v>2.2967894200474044</v>
      </c>
      <c r="BI9">
        <v>772536</v>
      </c>
      <c r="BJ9">
        <v>0</v>
      </c>
      <c r="BK9">
        <v>80.08</v>
      </c>
      <c r="BL9">
        <v>1.7131610474071539E-3</v>
      </c>
      <c r="BN9">
        <v>0.25230591589945095</v>
      </c>
      <c r="BO9">
        <v>758934</v>
      </c>
      <c r="BP9">
        <v>0</v>
      </c>
      <c r="BQ9">
        <v>447.67698588938981</v>
      </c>
      <c r="BR9">
        <v>7.9693277416891823E-3</v>
      </c>
      <c r="BS9">
        <v>8.5687901718217816</v>
      </c>
      <c r="BT9">
        <v>2.2839651865591635</v>
      </c>
      <c r="BU9">
        <v>772536</v>
      </c>
      <c r="BV9">
        <v>0</v>
      </c>
      <c r="BW9">
        <v>80.558297140271961</v>
      </c>
      <c r="BX9">
        <v>1.7350857683833803E-3</v>
      </c>
      <c r="BZ9">
        <v>0.25229375831806122</v>
      </c>
      <c r="CA9">
        <v>758934</v>
      </c>
      <c r="CB9">
        <v>0</v>
      </c>
      <c r="CC9">
        <v>434.73900800953368</v>
      </c>
      <c r="CD9">
        <v>7.754749433822687E-3</v>
      </c>
      <c r="CE9">
        <v>8.2175900977681184</v>
      </c>
      <c r="CF9">
        <v>2.213445661374462</v>
      </c>
      <c r="CG9">
        <v>772536</v>
      </c>
      <c r="CH9">
        <v>2</v>
      </c>
      <c r="CI9">
        <v>0</v>
      </c>
      <c r="CJ9">
        <v>0</v>
      </c>
      <c r="CK9">
        <v>0.13794852604396723</v>
      </c>
      <c r="CL9">
        <v>80.289418209696137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758934</v>
      </c>
      <c r="DC9">
        <v>2</v>
      </c>
      <c r="DD9">
        <v>0</v>
      </c>
      <c r="DE9">
        <v>0</v>
      </c>
      <c r="DF9">
        <v>4.9315068493150704</v>
      </c>
      <c r="DG9">
        <v>5.0410958904110181</v>
      </c>
      <c r="DH9">
        <v>5.0410958904110181</v>
      </c>
      <c r="DI9">
        <v>4.9863013698629999</v>
      </c>
      <c r="DJ9">
        <v>9.9726027397260886</v>
      </c>
      <c r="DK9">
        <v>10.027397260274018</v>
      </c>
      <c r="DL9">
        <v>410.02739726027403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</row>
    <row r="10" spans="1:126">
      <c r="A10">
        <v>772537</v>
      </c>
      <c r="B10">
        <v>0</v>
      </c>
      <c r="C10">
        <v>931.13344009556101</v>
      </c>
      <c r="D10">
        <v>1.9948442275543866E-2</v>
      </c>
      <c r="F10">
        <v>0.75342465753424659</v>
      </c>
      <c r="G10">
        <v>758935</v>
      </c>
      <c r="H10">
        <v>5.5205479452056228</v>
      </c>
      <c r="I10">
        <v>1484.3609143583267</v>
      </c>
      <c r="J10">
        <v>2.6340873693184389E-2</v>
      </c>
      <c r="L10">
        <v>3.0684598396811773</v>
      </c>
      <c r="M10">
        <v>772537</v>
      </c>
      <c r="N10">
        <v>0</v>
      </c>
      <c r="O10">
        <v>935.61831791556767</v>
      </c>
      <c r="P10">
        <v>2.0347490711921355E-2</v>
      </c>
      <c r="R10">
        <v>0.75342465753424659</v>
      </c>
      <c r="S10">
        <v>758935</v>
      </c>
      <c r="T10">
        <v>5.5205479452056228</v>
      </c>
      <c r="U10">
        <v>1398.8405336577703</v>
      </c>
      <c r="V10">
        <v>2.5759912595211504E-2</v>
      </c>
      <c r="X10">
        <v>2.8736335201822034</v>
      </c>
      <c r="Y10">
        <v>772537</v>
      </c>
      <c r="Z10">
        <v>0</v>
      </c>
      <c r="AA10">
        <v>930</v>
      </c>
      <c r="AB10">
        <v>1.9772509833103007E-2</v>
      </c>
      <c r="AD10">
        <v>0.75342465753424659</v>
      </c>
      <c r="AE10">
        <v>758935</v>
      </c>
      <c r="AF10">
        <v>5.5205479452056228</v>
      </c>
      <c r="AG10">
        <v>1527.5890410958943</v>
      </c>
      <c r="AH10">
        <v>2.6409685714461711E-2</v>
      </c>
      <c r="AJ10">
        <v>3.1673056592696698</v>
      </c>
      <c r="AK10">
        <v>772537</v>
      </c>
      <c r="AL10">
        <v>0</v>
      </c>
      <c r="AM10">
        <v>936.68642918456953</v>
      </c>
      <c r="AN10">
        <v>2.0283817951548745E-2</v>
      </c>
      <c r="AP10">
        <v>0.75342465753424659</v>
      </c>
      <c r="AQ10">
        <v>758935</v>
      </c>
      <c r="AR10">
        <v>5.5205479452056228</v>
      </c>
      <c r="AS10">
        <v>1426.0199314072629</v>
      </c>
      <c r="AT10">
        <v>2.5822467249878005E-2</v>
      </c>
      <c r="AV10">
        <v>2.9354440658749454</v>
      </c>
      <c r="AW10">
        <v>772537</v>
      </c>
      <c r="AX10">
        <v>0</v>
      </c>
      <c r="AY10">
        <v>930</v>
      </c>
      <c r="AZ10">
        <v>1.9821394317866961E-2</v>
      </c>
      <c r="BB10">
        <v>0.75342465753424659</v>
      </c>
      <c r="BC10">
        <v>758935</v>
      </c>
      <c r="BD10">
        <v>5.5205479452056228</v>
      </c>
      <c r="BE10">
        <v>1520.849255007578</v>
      </c>
      <c r="BF10">
        <v>2.6580838489366227E-2</v>
      </c>
      <c r="BH10">
        <v>3.1518787666798218</v>
      </c>
      <c r="BI10">
        <v>772537</v>
      </c>
      <c r="BJ10">
        <v>0</v>
      </c>
      <c r="BK10">
        <v>929.99999999999989</v>
      </c>
      <c r="BL10">
        <v>1.9895601574533628E-2</v>
      </c>
      <c r="BN10">
        <v>0.75342465753424659</v>
      </c>
      <c r="BO10">
        <v>758935</v>
      </c>
      <c r="BP10">
        <v>5.5205479452056228</v>
      </c>
      <c r="BQ10">
        <v>1488.9964984782962</v>
      </c>
      <c r="BR10">
        <v>2.6506390716124543E-2</v>
      </c>
      <c r="BT10">
        <v>3.0790481283220199</v>
      </c>
      <c r="BU10">
        <v>772537</v>
      </c>
      <c r="BV10">
        <v>0</v>
      </c>
      <c r="BW10">
        <v>935.25051310814524</v>
      </c>
      <c r="BX10">
        <v>2.0143671263825307E-2</v>
      </c>
      <c r="BZ10">
        <v>0.75342465753424659</v>
      </c>
      <c r="CA10">
        <v>758935</v>
      </c>
      <c r="CB10">
        <v>5.5205479452056228</v>
      </c>
      <c r="CC10">
        <v>1458.8991435107316</v>
      </c>
      <c r="CD10">
        <v>2.602342347640484E-2</v>
      </c>
      <c r="CF10">
        <v>3.0103519298217254</v>
      </c>
      <c r="CG10">
        <v>772537</v>
      </c>
      <c r="CH10">
        <v>2</v>
      </c>
      <c r="CI10">
        <v>0</v>
      </c>
      <c r="CJ10">
        <v>0</v>
      </c>
      <c r="CK10">
        <v>0</v>
      </c>
      <c r="CL10">
        <v>0</v>
      </c>
      <c r="CM10">
        <v>4.6139113293332557</v>
      </c>
      <c r="CN10">
        <v>944.40921268905117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758935</v>
      </c>
      <c r="DC10">
        <v>2</v>
      </c>
      <c r="DD10">
        <v>0</v>
      </c>
      <c r="DE10">
        <v>5.5205479452056228</v>
      </c>
      <c r="DF10">
        <v>16.02739726027427</v>
      </c>
      <c r="DG10">
        <v>16.20547945205475</v>
      </c>
      <c r="DH10">
        <v>16.383561643835808</v>
      </c>
      <c r="DI10">
        <v>10.863013698630187</v>
      </c>
      <c r="DJ10">
        <v>37.753424657534637</v>
      </c>
      <c r="DK10">
        <v>27.246575342465995</v>
      </c>
      <c r="DL10">
        <v>65.1780821917814</v>
      </c>
      <c r="DM10">
        <v>1332.41095890411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</row>
    <row r="11" spans="1:126">
      <c r="A11">
        <v>773908</v>
      </c>
      <c r="B11">
        <v>0</v>
      </c>
      <c r="C11">
        <v>426.73449528805298</v>
      </c>
      <c r="D11">
        <v>9.1422862499315072E-3</v>
      </c>
      <c r="F11">
        <v>1.3648767163496289</v>
      </c>
      <c r="G11">
        <v>776965</v>
      </c>
      <c r="H11">
        <v>1.9109589041096386</v>
      </c>
      <c r="I11">
        <v>513.81723958557438</v>
      </c>
      <c r="J11">
        <v>9.1179947399484384E-3</v>
      </c>
      <c r="L11">
        <v>3.0684598396811764</v>
      </c>
      <c r="M11">
        <v>773908</v>
      </c>
      <c r="N11">
        <v>0</v>
      </c>
      <c r="O11">
        <v>415.40158743317852</v>
      </c>
      <c r="P11">
        <v>9.0340043372010466E-3</v>
      </c>
      <c r="R11">
        <v>1.327190739982905</v>
      </c>
      <c r="S11">
        <v>776965</v>
      </c>
      <c r="T11">
        <v>1.9109589041096386</v>
      </c>
      <c r="U11">
        <v>484.21403088153585</v>
      </c>
      <c r="V11">
        <v>8.9168928214193657E-3</v>
      </c>
      <c r="X11">
        <v>2.8736335201822016</v>
      </c>
      <c r="Y11">
        <v>773908</v>
      </c>
      <c r="Z11">
        <v>0</v>
      </c>
      <c r="AA11">
        <v>429.9726027397262</v>
      </c>
      <c r="AB11">
        <v>9.1415457157377738E-3</v>
      </c>
      <c r="AD11">
        <v>1.3756511082675342</v>
      </c>
      <c r="AE11">
        <v>776965</v>
      </c>
      <c r="AF11">
        <v>1.9109589041096386</v>
      </c>
      <c r="AG11">
        <v>528.78082191780891</v>
      </c>
      <c r="AH11">
        <v>9.1418142857751968E-3</v>
      </c>
      <c r="AJ11">
        <v>3.1673056592696662</v>
      </c>
      <c r="AK11">
        <v>773908</v>
      </c>
      <c r="AL11">
        <v>0</v>
      </c>
      <c r="AM11">
        <v>414.68907239735148</v>
      </c>
      <c r="AN11">
        <v>8.9800357824411856E-3</v>
      </c>
      <c r="AP11">
        <v>1.3248225789226296</v>
      </c>
      <c r="AQ11">
        <v>776965</v>
      </c>
      <c r="AR11">
        <v>1.9109589041096386</v>
      </c>
      <c r="AS11">
        <v>493.62228394866821</v>
      </c>
      <c r="AT11">
        <v>8.9385463557270072E-3</v>
      </c>
      <c r="AV11">
        <v>2.9354440658749446</v>
      </c>
      <c r="AW11">
        <v>773908</v>
      </c>
      <c r="AX11">
        <v>0</v>
      </c>
      <c r="AY11">
        <v>429.9726027397262</v>
      </c>
      <c r="AZ11">
        <v>9.1641467793372872E-3</v>
      </c>
      <c r="BB11">
        <v>1.3756511082675342</v>
      </c>
      <c r="BC11">
        <v>776965</v>
      </c>
      <c r="BD11">
        <v>1.9109589041096386</v>
      </c>
      <c r="BE11">
        <v>526.44781904108402</v>
      </c>
      <c r="BF11">
        <v>9.201059477088297E-3</v>
      </c>
      <c r="BH11">
        <v>3.1518787666798156</v>
      </c>
      <c r="BI11">
        <v>773908</v>
      </c>
      <c r="BJ11">
        <v>0</v>
      </c>
      <c r="BK11">
        <v>429.9726027397262</v>
      </c>
      <c r="BL11">
        <v>9.1984554753492681E-3</v>
      </c>
      <c r="BN11">
        <v>1.3756511082675342</v>
      </c>
      <c r="BO11">
        <v>776965</v>
      </c>
      <c r="BP11">
        <v>1.9109589041096386</v>
      </c>
      <c r="BQ11">
        <v>515.42186485787147</v>
      </c>
      <c r="BR11">
        <v>9.1752890940431063E-3</v>
      </c>
      <c r="BT11">
        <v>3.0790481283220164</v>
      </c>
      <c r="BU11">
        <v>773908</v>
      </c>
      <c r="BV11">
        <v>0</v>
      </c>
      <c r="BW11">
        <v>418.49947425872699</v>
      </c>
      <c r="BX11">
        <v>9.0137516263267999E-3</v>
      </c>
      <c r="BZ11">
        <v>1.3374887511310276</v>
      </c>
      <c r="CA11">
        <v>776965</v>
      </c>
      <c r="CB11">
        <v>1.9109589041096386</v>
      </c>
      <c r="CC11">
        <v>505.00354967679209</v>
      </c>
      <c r="CD11">
        <v>9.0081081264478356E-3</v>
      </c>
      <c r="CF11">
        <v>3.0103519298217232</v>
      </c>
      <c r="CG11">
        <v>773908</v>
      </c>
      <c r="CH11">
        <v>2</v>
      </c>
      <c r="CI11">
        <v>0</v>
      </c>
      <c r="CJ11">
        <v>0</v>
      </c>
      <c r="CK11">
        <v>4.9315068493150704</v>
      </c>
      <c r="CL11">
        <v>5.0410958904110181</v>
      </c>
      <c r="CM11">
        <v>5.0410958904110181</v>
      </c>
      <c r="CN11">
        <v>4.9863013698629999</v>
      </c>
      <c r="CO11">
        <v>409.97260273972609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776965</v>
      </c>
      <c r="DC11">
        <v>1</v>
      </c>
      <c r="DD11">
        <v>0</v>
      </c>
      <c r="DE11">
        <v>1.9109589041096386</v>
      </c>
      <c r="DF11">
        <v>5.5479452054795537</v>
      </c>
      <c r="DG11">
        <v>5.6095890410958749</v>
      </c>
      <c r="DH11">
        <v>5.671232876712395</v>
      </c>
      <c r="DI11">
        <v>3.7602739726027568</v>
      </c>
      <c r="DJ11">
        <v>13.068493150685066</v>
      </c>
      <c r="DK11">
        <v>9.4315068493151522</v>
      </c>
      <c r="DL11">
        <v>22.561643835616643</v>
      </c>
      <c r="DM11">
        <v>461.21917808219195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</row>
    <row r="12" spans="1:126">
      <c r="A12">
        <v>773922</v>
      </c>
      <c r="B12">
        <v>0</v>
      </c>
      <c r="C12">
        <v>1636.4453301199173</v>
      </c>
      <c r="D12">
        <v>3.5058922598280036E-2</v>
      </c>
      <c r="F12">
        <v>1.3735591476359656</v>
      </c>
      <c r="G12">
        <v>795432</v>
      </c>
      <c r="H12">
        <v>0</v>
      </c>
      <c r="I12">
        <v>175.83546165422095</v>
      </c>
      <c r="J12">
        <v>3.120305608571496E-3</v>
      </c>
      <c r="L12">
        <v>2.8959271446971373</v>
      </c>
      <c r="M12">
        <v>773922</v>
      </c>
      <c r="N12">
        <v>0</v>
      </c>
      <c r="O12">
        <v>1592.7101007438591</v>
      </c>
      <c r="P12">
        <v>3.4637686502193447E-2</v>
      </c>
      <c r="R12">
        <v>1.3358034494389024</v>
      </c>
      <c r="S12">
        <v>795432</v>
      </c>
      <c r="T12">
        <v>0</v>
      </c>
      <c r="U12">
        <v>166.23598165085332</v>
      </c>
      <c r="V12">
        <v>3.0612669953935016E-3</v>
      </c>
      <c r="X12">
        <v>2.7241171893506788</v>
      </c>
      <c r="Y12">
        <v>773922</v>
      </c>
      <c r="Z12">
        <v>0</v>
      </c>
      <c r="AA12">
        <v>1648.9449315068491</v>
      </c>
      <c r="AB12">
        <v>3.5057827819854344E-2</v>
      </c>
      <c r="AD12">
        <v>1.3843559444233988</v>
      </c>
      <c r="AE12">
        <v>795432</v>
      </c>
      <c r="AF12">
        <v>0</v>
      </c>
      <c r="AG12">
        <v>180.182191780822</v>
      </c>
      <c r="AH12">
        <v>3.115075408540887E-3</v>
      </c>
      <c r="AJ12">
        <v>2.9739677599530787</v>
      </c>
      <c r="AK12">
        <v>773922</v>
      </c>
      <c r="AL12">
        <v>0</v>
      </c>
      <c r="AM12">
        <v>1589.9748726978682</v>
      </c>
      <c r="AN12">
        <v>3.4430690848607989E-2</v>
      </c>
      <c r="AP12">
        <v>1.3334433150496097</v>
      </c>
      <c r="AQ12">
        <v>795432</v>
      </c>
      <c r="AR12">
        <v>0</v>
      </c>
      <c r="AS12">
        <v>168.99735403040879</v>
      </c>
      <c r="AT12">
        <v>3.0602157400841804E-3</v>
      </c>
      <c r="AV12">
        <v>2.7734618170901557</v>
      </c>
      <c r="AW12">
        <v>773922</v>
      </c>
      <c r="AX12">
        <v>0</v>
      </c>
      <c r="AY12">
        <v>1648.9449315068491</v>
      </c>
      <c r="AZ12">
        <v>3.5144502898758478E-2</v>
      </c>
      <c r="BB12">
        <v>1.3843559444233988</v>
      </c>
      <c r="BC12">
        <v>795432</v>
      </c>
      <c r="BD12">
        <v>0</v>
      </c>
      <c r="BE12">
        <v>179.85591212139263</v>
      </c>
      <c r="BF12">
        <v>3.1434548399292615E-3</v>
      </c>
      <c r="BH12">
        <v>2.9681046814192169</v>
      </c>
      <c r="BI12">
        <v>773922</v>
      </c>
      <c r="BJ12">
        <v>0</v>
      </c>
      <c r="BK12">
        <v>1648.9449315068491</v>
      </c>
      <c r="BL12">
        <v>3.5276076747964423E-2</v>
      </c>
      <c r="BN12">
        <v>1.3843559444233988</v>
      </c>
      <c r="BO12">
        <v>795432</v>
      </c>
      <c r="BP12">
        <v>0</v>
      </c>
      <c r="BQ12">
        <v>176.70539614249356</v>
      </c>
      <c r="BR12">
        <v>3.1456234293278781E-3</v>
      </c>
      <c r="BT12">
        <v>2.911533991670733</v>
      </c>
      <c r="BU12">
        <v>773922</v>
      </c>
      <c r="BV12">
        <v>0</v>
      </c>
      <c r="BW12">
        <v>1604.6810754579526</v>
      </c>
      <c r="BX12">
        <v>3.456204259100891E-2</v>
      </c>
      <c r="BZ12">
        <v>1.3461343707214357</v>
      </c>
      <c r="CA12">
        <v>795432</v>
      </c>
      <c r="CB12">
        <v>0</v>
      </c>
      <c r="CC12">
        <v>172.64219630554101</v>
      </c>
      <c r="CD12">
        <v>3.0795418616425146E-3</v>
      </c>
      <c r="CF12">
        <v>2.8386908834336446</v>
      </c>
      <c r="CG12">
        <v>773922</v>
      </c>
      <c r="CH12">
        <v>2</v>
      </c>
      <c r="CI12">
        <v>0</v>
      </c>
      <c r="CJ12">
        <v>0</v>
      </c>
      <c r="CK12">
        <v>0</v>
      </c>
      <c r="CL12">
        <v>38.244931506849213</v>
      </c>
      <c r="CM12">
        <v>0</v>
      </c>
      <c r="CN12">
        <v>38.45506849315052</v>
      </c>
      <c r="CO12">
        <v>1572.2449315068493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795432</v>
      </c>
      <c r="DC12">
        <v>1</v>
      </c>
      <c r="DD12">
        <v>0</v>
      </c>
      <c r="DE12">
        <v>0</v>
      </c>
      <c r="DF12">
        <v>1.9109589041095898</v>
      </c>
      <c r="DG12">
        <v>1.9534246575342695</v>
      </c>
      <c r="DH12">
        <v>1.9534246575342695</v>
      </c>
      <c r="DI12">
        <v>1.9321917808219125</v>
      </c>
      <c r="DJ12">
        <v>3.8643835616438595</v>
      </c>
      <c r="DK12">
        <v>3.8856164383561822</v>
      </c>
      <c r="DL12">
        <v>7.7712328767123644</v>
      </c>
      <c r="DM12">
        <v>156.91095890410958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</row>
    <row r="13" spans="1:126">
      <c r="A13">
        <v>774332</v>
      </c>
      <c r="B13">
        <v>0</v>
      </c>
      <c r="C13">
        <v>858.46401905506991</v>
      </c>
      <c r="D13">
        <v>1.83915851287587E-2</v>
      </c>
      <c r="F13">
        <v>0.79192480809935617</v>
      </c>
      <c r="G13">
        <v>795613</v>
      </c>
      <c r="H13">
        <v>0</v>
      </c>
      <c r="I13">
        <v>441.37398234020259</v>
      </c>
      <c r="J13">
        <v>7.8324457399950777E-3</v>
      </c>
      <c r="L13">
        <v>2.8995208541814916</v>
      </c>
      <c r="M13">
        <v>774332</v>
      </c>
      <c r="N13">
        <v>0</v>
      </c>
      <c r="O13">
        <v>861.90109632550684</v>
      </c>
      <c r="P13">
        <v>1.8744315086892845E-2</v>
      </c>
      <c r="R13">
        <v>0.79159179821587156</v>
      </c>
      <c r="S13">
        <v>795613</v>
      </c>
      <c r="T13">
        <v>0</v>
      </c>
      <c r="U13">
        <v>417.25621374437486</v>
      </c>
      <c r="V13">
        <v>7.6838519740046567E-3</v>
      </c>
      <c r="X13">
        <v>2.7258707695869289</v>
      </c>
      <c r="Y13">
        <v>774332</v>
      </c>
      <c r="Z13">
        <v>0</v>
      </c>
      <c r="AA13">
        <v>857.56734246575343</v>
      </c>
      <c r="AB13">
        <v>1.8232536248873252E-2</v>
      </c>
      <c r="AD13">
        <v>0.79204031689452392</v>
      </c>
      <c r="AE13">
        <v>795613</v>
      </c>
      <c r="AF13">
        <v>0</v>
      </c>
      <c r="AG13">
        <v>452.40136986301349</v>
      </c>
      <c r="AH13">
        <v>7.8213300000520986E-3</v>
      </c>
      <c r="AJ13">
        <v>2.979173866246307</v>
      </c>
      <c r="AK13">
        <v>774332</v>
      </c>
      <c r="AL13">
        <v>0</v>
      </c>
      <c r="AM13">
        <v>862.71077932111211</v>
      </c>
      <c r="AN13">
        <v>1.8681885257825246E-2</v>
      </c>
      <c r="AP13">
        <v>0.79163873618499014</v>
      </c>
      <c r="AQ13">
        <v>795613</v>
      </c>
      <c r="AR13">
        <v>0</v>
      </c>
      <c r="AS13">
        <v>424.25373410599769</v>
      </c>
      <c r="AT13">
        <v>7.6824158718310463E-3</v>
      </c>
      <c r="AV13">
        <v>2.7761725167425704</v>
      </c>
      <c r="AW13">
        <v>774332</v>
      </c>
      <c r="AX13">
        <v>0</v>
      </c>
      <c r="AY13">
        <v>857.56734246575343</v>
      </c>
      <c r="AZ13">
        <v>1.827761338617092E-2</v>
      </c>
      <c r="BB13">
        <v>0.79204031689452392</v>
      </c>
      <c r="BC13">
        <v>795613</v>
      </c>
      <c r="BD13">
        <v>0</v>
      </c>
      <c r="BE13">
        <v>451.48986865242523</v>
      </c>
      <c r="BF13">
        <v>7.8909722569285735E-3</v>
      </c>
      <c r="BH13">
        <v>2.9725840524470821</v>
      </c>
      <c r="BI13">
        <v>774332</v>
      </c>
      <c r="BJ13">
        <v>0</v>
      </c>
      <c r="BK13">
        <v>857.55669961051512</v>
      </c>
      <c r="BL13">
        <v>1.8345813358089061E-2</v>
      </c>
      <c r="BN13">
        <v>0.79199077317808597</v>
      </c>
      <c r="BO13">
        <v>795613</v>
      </c>
      <c r="BP13">
        <v>0</v>
      </c>
      <c r="BQ13">
        <v>443.48281081856635</v>
      </c>
      <c r="BR13">
        <v>7.8946650791022043E-3</v>
      </c>
      <c r="BT13">
        <v>2.9147412958275374</v>
      </c>
      <c r="BU13">
        <v>774332</v>
      </c>
      <c r="BV13">
        <v>0</v>
      </c>
      <c r="BW13">
        <v>861.61016738359456</v>
      </c>
      <c r="BX13">
        <v>1.8557586150543724E-2</v>
      </c>
      <c r="BZ13">
        <v>0.79175729379136639</v>
      </c>
      <c r="CA13">
        <v>795613</v>
      </c>
      <c r="CB13">
        <v>0</v>
      </c>
      <c r="CC13">
        <v>433.42040228531897</v>
      </c>
      <c r="CD13">
        <v>7.7312285240241693E-3</v>
      </c>
      <c r="CF13">
        <v>2.842168222732139</v>
      </c>
      <c r="CG13">
        <v>774332</v>
      </c>
      <c r="CH13">
        <v>3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875.41119474176207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795613</v>
      </c>
      <c r="DC13">
        <v>1</v>
      </c>
      <c r="DD13">
        <v>0</v>
      </c>
      <c r="DE13">
        <v>0</v>
      </c>
      <c r="DF13">
        <v>9.5986301369862748</v>
      </c>
      <c r="DG13">
        <v>0</v>
      </c>
      <c r="DH13">
        <v>9.651369863013656</v>
      </c>
      <c r="DI13">
        <v>0</v>
      </c>
      <c r="DJ13">
        <v>9.5986301369862748</v>
      </c>
      <c r="DK13">
        <v>9.651369863013656</v>
      </c>
      <c r="DL13">
        <v>19.302739726027312</v>
      </c>
      <c r="DM13">
        <v>394.59863013698629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</row>
    <row r="14" spans="1:126">
      <c r="A14">
        <v>776630</v>
      </c>
      <c r="B14">
        <v>0</v>
      </c>
      <c r="C14">
        <v>120.20186826821809</v>
      </c>
      <c r="D14">
        <v>2.5751841006966618E-3</v>
      </c>
      <c r="F14">
        <v>0.88096802932701324</v>
      </c>
      <c r="G14">
        <v>821549</v>
      </c>
      <c r="H14">
        <v>0.33972602739726909</v>
      </c>
      <c r="I14">
        <v>85.959951061006819</v>
      </c>
      <c r="J14">
        <v>1.5254108294471681E-3</v>
      </c>
      <c r="L14">
        <v>1.5532162068272137</v>
      </c>
      <c r="M14">
        <v>776630</v>
      </c>
      <c r="N14">
        <v>0</v>
      </c>
      <c r="O14">
        <v>120.48780146136461</v>
      </c>
      <c r="P14">
        <v>2.620325376481332E-3</v>
      </c>
      <c r="R14">
        <v>0.89545901806456185</v>
      </c>
      <c r="S14">
        <v>821549</v>
      </c>
      <c r="T14">
        <v>0.33972602739726909</v>
      </c>
      <c r="U14">
        <v>83.372127533483436</v>
      </c>
      <c r="V14">
        <v>1.5353134731687648E-3</v>
      </c>
      <c r="X14">
        <v>1.5041135852017502</v>
      </c>
      <c r="Y14">
        <v>776630</v>
      </c>
      <c r="Z14">
        <v>0</v>
      </c>
      <c r="AA14">
        <v>120.11999999999998</v>
      </c>
      <c r="AB14">
        <v>2.5538428829594978E-3</v>
      </c>
      <c r="AD14">
        <v>0.87671232875518201</v>
      </c>
      <c r="AE14">
        <v>821549</v>
      </c>
      <c r="AF14">
        <v>0.33972602739726909</v>
      </c>
      <c r="AG14">
        <v>86.663013698630095</v>
      </c>
      <c r="AH14">
        <v>1.4982713892782078E-3</v>
      </c>
      <c r="AJ14">
        <v>1.5665668918550828</v>
      </c>
      <c r="AK14">
        <v>776630</v>
      </c>
      <c r="AL14">
        <v>0</v>
      </c>
      <c r="AM14">
        <v>120.54530406426102</v>
      </c>
      <c r="AN14">
        <v>2.6103922576119236E-3</v>
      </c>
      <c r="AP14">
        <v>0.89830353122849749</v>
      </c>
      <c r="AQ14">
        <v>821549</v>
      </c>
      <c r="AR14">
        <v>0.33972602739726909</v>
      </c>
      <c r="AS14">
        <v>83.341543851991091</v>
      </c>
      <c r="AT14">
        <v>1.5091544229318972E-3</v>
      </c>
      <c r="AV14">
        <v>1.5035336429992405</v>
      </c>
      <c r="AW14">
        <v>776630</v>
      </c>
      <c r="AX14">
        <v>0</v>
      </c>
      <c r="AY14">
        <v>120.11999999999998</v>
      </c>
      <c r="AZ14">
        <v>2.5601568660883647E-3</v>
      </c>
      <c r="BB14">
        <v>0.87671232875518201</v>
      </c>
      <c r="BC14">
        <v>821549</v>
      </c>
      <c r="BD14">
        <v>0.33972602739726909</v>
      </c>
      <c r="BE14">
        <v>86.663013698630095</v>
      </c>
      <c r="BF14">
        <v>1.5146639698446255E-3</v>
      </c>
      <c r="BH14">
        <v>1.5665668918550828</v>
      </c>
      <c r="BI14">
        <v>776630</v>
      </c>
      <c r="BJ14">
        <v>0</v>
      </c>
      <c r="BK14">
        <v>120.11999999999998</v>
      </c>
      <c r="BL14">
        <v>2.5697415711107303E-3</v>
      </c>
      <c r="BN14">
        <v>0.87671232875518201</v>
      </c>
      <c r="BO14">
        <v>821549</v>
      </c>
      <c r="BP14">
        <v>0.33972602739726909</v>
      </c>
      <c r="BQ14">
        <v>86.663013698630095</v>
      </c>
      <c r="BR14">
        <v>1.5427327761215861E-3</v>
      </c>
      <c r="BT14">
        <v>1.5665668918550828</v>
      </c>
      <c r="BU14">
        <v>776630</v>
      </c>
      <c r="BV14">
        <v>0</v>
      </c>
      <c r="BW14">
        <v>120.45284226990603</v>
      </c>
      <c r="BX14">
        <v>2.5943449626290903E-3</v>
      </c>
      <c r="BZ14">
        <v>0.89371828815065757</v>
      </c>
      <c r="CA14">
        <v>821549</v>
      </c>
      <c r="CB14">
        <v>0.33972602739726909</v>
      </c>
      <c r="CC14">
        <v>84.225306262157943</v>
      </c>
      <c r="CD14">
        <v>1.5023867976339692E-3</v>
      </c>
      <c r="CF14">
        <v>1.5202954543621796</v>
      </c>
      <c r="CG14">
        <v>776630</v>
      </c>
      <c r="CH14">
        <v>3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120.79208244933332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821549</v>
      </c>
      <c r="DC14">
        <v>2</v>
      </c>
      <c r="DD14">
        <v>0</v>
      </c>
      <c r="DE14">
        <v>0.33972602739726909</v>
      </c>
      <c r="DF14">
        <v>0.64657534246576276</v>
      </c>
      <c r="DG14">
        <v>0.99726027397259998</v>
      </c>
      <c r="DH14">
        <v>1.0082191780822036</v>
      </c>
      <c r="DI14">
        <v>1.0082191780822036</v>
      </c>
      <c r="DJ14">
        <v>1.9835616438356318</v>
      </c>
      <c r="DK14">
        <v>80.679452054794524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</row>
    <row r="15" spans="1:126">
      <c r="A15">
        <v>776632</v>
      </c>
      <c r="B15">
        <v>2.6545510201794187E-2</v>
      </c>
      <c r="C15">
        <v>120.23553049490565</v>
      </c>
      <c r="D15">
        <v>2.5759052744372098E-3</v>
      </c>
      <c r="F15">
        <v>5.1038889601661794E-2</v>
      </c>
      <c r="G15">
        <v>821552</v>
      </c>
      <c r="H15">
        <v>0</v>
      </c>
      <c r="I15">
        <v>603.39626199246686</v>
      </c>
      <c r="J15">
        <v>1.0707628158582958E-2</v>
      </c>
      <c r="L15">
        <v>3.2311855449641205</v>
      </c>
      <c r="M15">
        <v>776632</v>
      </c>
      <c r="N15">
        <v>0.23038112664015564</v>
      </c>
      <c r="O15">
        <v>120.31665038059526</v>
      </c>
      <c r="P15">
        <v>2.6166032443259374E-3</v>
      </c>
      <c r="R15">
        <v>5.0951115384752013E-2</v>
      </c>
      <c r="S15">
        <v>821552</v>
      </c>
      <c r="T15">
        <v>0</v>
      </c>
      <c r="U15">
        <v>566.91348646030247</v>
      </c>
      <c r="V15">
        <v>1.0439818913509428E-2</v>
      </c>
      <c r="X15">
        <v>3.0156578855285883</v>
      </c>
      <c r="Y15">
        <v>776632</v>
      </c>
      <c r="Z15">
        <v>1.0191780821902086E-2</v>
      </c>
      <c r="AA15">
        <v>120.22980821917812</v>
      </c>
      <c r="AB15">
        <v>2.5561774895116003E-3</v>
      </c>
      <c r="AD15">
        <v>5.1062609429340294E-2</v>
      </c>
      <c r="AE15">
        <v>821552</v>
      </c>
      <c r="AF15">
        <v>0</v>
      </c>
      <c r="AG15">
        <v>623.5273972602746</v>
      </c>
      <c r="AH15">
        <v>1.0779838132503624E-2</v>
      </c>
      <c r="AJ15">
        <v>3.3506179393624489</v>
      </c>
      <c r="AK15">
        <v>776632</v>
      </c>
      <c r="AL15">
        <v>0.3285618627722986</v>
      </c>
      <c r="AM15">
        <v>120.35728641720594</v>
      </c>
      <c r="AN15">
        <v>2.6063207608914428E-3</v>
      </c>
      <c r="AP15">
        <v>5.094208010410007E-2</v>
      </c>
      <c r="AQ15">
        <v>821552</v>
      </c>
      <c r="AR15">
        <v>0</v>
      </c>
      <c r="AS15">
        <v>579.45711922602334</v>
      </c>
      <c r="AT15">
        <v>1.0492849471715618E-2</v>
      </c>
      <c r="AV15">
        <v>3.0896241749764388</v>
      </c>
      <c r="AW15">
        <v>776632</v>
      </c>
      <c r="AX15">
        <v>1.0191780821902086E-2</v>
      </c>
      <c r="AY15">
        <v>120.22980821917812</v>
      </c>
      <c r="AZ15">
        <v>2.5624972445955395E-3</v>
      </c>
      <c r="BB15">
        <v>5.1062609429340294E-2</v>
      </c>
      <c r="BC15">
        <v>821552</v>
      </c>
      <c r="BD15">
        <v>0</v>
      </c>
      <c r="BE15">
        <v>619.20947837541542</v>
      </c>
      <c r="BF15">
        <v>1.0822313310532289E-2</v>
      </c>
      <c r="BH15">
        <v>3.3249718047009353</v>
      </c>
      <c r="BI15">
        <v>776632</v>
      </c>
      <c r="BJ15">
        <v>1.0191780821902086E-2</v>
      </c>
      <c r="BK15">
        <v>120.22980821917812</v>
      </c>
      <c r="BL15">
        <v>2.5720907115175879E-3</v>
      </c>
      <c r="BN15">
        <v>5.1062609429340294E-2</v>
      </c>
      <c r="BO15">
        <v>821552</v>
      </c>
      <c r="BP15">
        <v>0</v>
      </c>
      <c r="BQ15">
        <v>604.22213292346942</v>
      </c>
      <c r="BR15">
        <v>1.0756068231837461E-2</v>
      </c>
      <c r="BT15">
        <v>3.2360783330179199</v>
      </c>
      <c r="BU15">
        <v>776632</v>
      </c>
      <c r="BV15">
        <v>0.2670374706321077</v>
      </c>
      <c r="BW15">
        <v>120.33297765354943</v>
      </c>
      <c r="BX15">
        <v>2.5917632870307229E-3</v>
      </c>
      <c r="BZ15">
        <v>5.0970837842235356E-2</v>
      </c>
      <c r="CA15">
        <v>821552</v>
      </c>
      <c r="CB15">
        <v>0</v>
      </c>
      <c r="CC15">
        <v>593.64009925732012</v>
      </c>
      <c r="CD15">
        <v>1.0589181414126044E-2</v>
      </c>
      <c r="CF15">
        <v>3.1734316009442995</v>
      </c>
      <c r="CG15">
        <v>776632</v>
      </c>
      <c r="CH15">
        <v>3</v>
      </c>
      <c r="CI15">
        <v>0</v>
      </c>
      <c r="CJ15">
        <v>121.32576491124624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821552</v>
      </c>
      <c r="DC15">
        <v>3</v>
      </c>
      <c r="DD15">
        <v>0</v>
      </c>
      <c r="DE15">
        <v>0</v>
      </c>
      <c r="DF15">
        <v>6.47260273972603</v>
      </c>
      <c r="DG15">
        <v>6.616438356164462</v>
      </c>
      <c r="DH15">
        <v>6.616438356164462</v>
      </c>
      <c r="DI15">
        <v>6.5445205479451873</v>
      </c>
      <c r="DJ15">
        <v>13.089041095890492</v>
      </c>
      <c r="DK15">
        <v>13.160958904109648</v>
      </c>
      <c r="DL15">
        <v>26.321917808219297</v>
      </c>
      <c r="DM15">
        <v>544.70547945205499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</row>
    <row r="16" spans="1:126">
      <c r="A16">
        <v>776633</v>
      </c>
      <c r="B16">
        <v>0</v>
      </c>
      <c r="C16">
        <v>60.133338541839208</v>
      </c>
      <c r="D16">
        <v>1.2882862767924076E-3</v>
      </c>
      <c r="F16">
        <v>0.12775442169176365</v>
      </c>
      <c r="G16">
        <v>821553</v>
      </c>
      <c r="H16">
        <v>0</v>
      </c>
      <c r="I16">
        <v>116.15499010284988</v>
      </c>
      <c r="J16">
        <v>2.0612398868336507E-3</v>
      </c>
      <c r="L16">
        <v>3.2158557039556492</v>
      </c>
      <c r="M16">
        <v>776633</v>
      </c>
      <c r="N16">
        <v>0</v>
      </c>
      <c r="O16">
        <v>60.275245595038648</v>
      </c>
      <c r="P16">
        <v>1.3108443650784796E-3</v>
      </c>
      <c r="R16">
        <v>0.12765567016003332</v>
      </c>
      <c r="S16">
        <v>821553</v>
      </c>
      <c r="T16">
        <v>0</v>
      </c>
      <c r="U16">
        <v>109.16544048975594</v>
      </c>
      <c r="V16">
        <v>2.0103022022679396E-3</v>
      </c>
      <c r="X16">
        <v>3.0002942339287992</v>
      </c>
      <c r="Y16">
        <v>776633</v>
      </c>
      <c r="Z16">
        <v>0</v>
      </c>
      <c r="AA16">
        <v>60.120000000000019</v>
      </c>
      <c r="AB16">
        <v>1.2781970872754336E-3</v>
      </c>
      <c r="AD16">
        <v>0.12778076049159268</v>
      </c>
      <c r="AE16">
        <v>821553</v>
      </c>
      <c r="AF16">
        <v>0</v>
      </c>
      <c r="AG16">
        <v>120.01369863013704</v>
      </c>
      <c r="AH16">
        <v>2.0748538886991639E-3</v>
      </c>
      <c r="AJ16">
        <v>3.3353667327053733</v>
      </c>
      <c r="AK16">
        <v>776633</v>
      </c>
      <c r="AL16">
        <v>0</v>
      </c>
      <c r="AM16">
        <v>60.34021668152144</v>
      </c>
      <c r="AN16">
        <v>1.3066592321514419E-3</v>
      </c>
      <c r="AP16">
        <v>0.12764633068296216</v>
      </c>
      <c r="AQ16">
        <v>821553</v>
      </c>
      <c r="AR16">
        <v>0</v>
      </c>
      <c r="AS16">
        <v>111.57005658430616</v>
      </c>
      <c r="AT16">
        <v>2.0203182780006187E-3</v>
      </c>
      <c r="AV16">
        <v>3.0743162514185203</v>
      </c>
      <c r="AW16">
        <v>776633</v>
      </c>
      <c r="AX16">
        <v>0</v>
      </c>
      <c r="AY16">
        <v>60.120000000000019</v>
      </c>
      <c r="AZ16">
        <v>1.2813572326775937E-3</v>
      </c>
      <c r="BB16">
        <v>0.12778076049159268</v>
      </c>
      <c r="BC16">
        <v>821553</v>
      </c>
      <c r="BD16">
        <v>0</v>
      </c>
      <c r="BE16">
        <v>119.18505157826894</v>
      </c>
      <c r="BF16">
        <v>2.0830720703696333E-3</v>
      </c>
      <c r="BH16">
        <v>3.3096728077077135</v>
      </c>
      <c r="BI16">
        <v>776633</v>
      </c>
      <c r="BJ16">
        <v>0</v>
      </c>
      <c r="BK16">
        <v>60.120000000000019</v>
      </c>
      <c r="BL16">
        <v>1.2861543727537227E-3</v>
      </c>
      <c r="BN16">
        <v>0.12778076049159268</v>
      </c>
      <c r="BO16">
        <v>821553</v>
      </c>
      <c r="BP16">
        <v>0</v>
      </c>
      <c r="BQ16">
        <v>116.31182592696136</v>
      </c>
      <c r="BR16">
        <v>2.0705264962520937E-3</v>
      </c>
      <c r="BT16">
        <v>3.2207063495930495</v>
      </c>
      <c r="BU16">
        <v>776633</v>
      </c>
      <c r="BV16">
        <v>0</v>
      </c>
      <c r="BW16">
        <v>60.297231451419854</v>
      </c>
      <c r="BX16">
        <v>1.2986976125141582E-3</v>
      </c>
      <c r="BZ16">
        <v>0.12767872182821943</v>
      </c>
      <c r="CA16">
        <v>821553</v>
      </c>
      <c r="CB16">
        <v>0</v>
      </c>
      <c r="CC16">
        <v>114.28752409344821</v>
      </c>
      <c r="CD16">
        <v>2.0386279961728867E-3</v>
      </c>
      <c r="CF16">
        <v>3.1581438571725959</v>
      </c>
      <c r="CG16">
        <v>776633</v>
      </c>
      <c r="CH16">
        <v>3</v>
      </c>
      <c r="CI16">
        <v>0</v>
      </c>
      <c r="CJ16">
        <v>0</v>
      </c>
      <c r="CK16">
        <v>60.678763397266231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821553</v>
      </c>
      <c r="DC16">
        <v>2</v>
      </c>
      <c r="DD16">
        <v>0</v>
      </c>
      <c r="DE16">
        <v>0</v>
      </c>
      <c r="DF16">
        <v>2.4794520547945176</v>
      </c>
      <c r="DG16">
        <v>0</v>
      </c>
      <c r="DH16">
        <v>2.5205479452054869</v>
      </c>
      <c r="DI16">
        <v>0</v>
      </c>
      <c r="DJ16">
        <v>2.4794520547945176</v>
      </c>
      <c r="DK16">
        <v>2.5205479452054869</v>
      </c>
      <c r="DL16">
        <v>5.0136986301369868</v>
      </c>
      <c r="DM16">
        <v>105.00000000000001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</row>
    <row r="17" spans="1:126">
      <c r="A17" s="104">
        <v>780507</v>
      </c>
      <c r="B17">
        <v>0</v>
      </c>
      <c r="C17">
        <v>351.84065739891849</v>
      </c>
      <c r="D17">
        <v>7.5377735801126569E-3</v>
      </c>
      <c r="F17">
        <v>0.80537048520852306</v>
      </c>
      <c r="G17">
        <v>821554</v>
      </c>
      <c r="H17">
        <v>0</v>
      </c>
      <c r="I17">
        <v>118.85447037983124</v>
      </c>
      <c r="J17">
        <v>2.1091437815841715E-3</v>
      </c>
      <c r="L17">
        <v>3.7984745597317806</v>
      </c>
      <c r="M17" s="104">
        <v>780507</v>
      </c>
      <c r="N17">
        <v>0</v>
      </c>
      <c r="O17">
        <v>346.26472721474715</v>
      </c>
      <c r="P17">
        <v>7.530440764097846E-3</v>
      </c>
      <c r="R17">
        <v>0.79221950775975747</v>
      </c>
      <c r="S17">
        <v>821554</v>
      </c>
      <c r="T17">
        <v>0</v>
      </c>
      <c r="U17">
        <v>110.51406978759326</v>
      </c>
      <c r="V17">
        <v>2.0351374654732383E-3</v>
      </c>
      <c r="X17">
        <v>3.4984704724620164</v>
      </c>
      <c r="Y17" s="104">
        <v>780507</v>
      </c>
      <c r="Z17">
        <v>0</v>
      </c>
      <c r="AA17">
        <v>355.93110000000013</v>
      </c>
      <c r="AB17">
        <v>7.5673668544700779E-3</v>
      </c>
      <c r="AD17">
        <v>0.81502077581600729</v>
      </c>
      <c r="AE17">
        <v>821554</v>
      </c>
      <c r="AF17">
        <v>0</v>
      </c>
      <c r="AG17">
        <v>125.01369863013699</v>
      </c>
      <c r="AH17">
        <v>2.1612962662103143E-3</v>
      </c>
      <c r="AJ17">
        <v>4.0215233309803251</v>
      </c>
      <c r="AK17" s="104">
        <v>780507</v>
      </c>
      <c r="AL17">
        <v>0</v>
      </c>
      <c r="AM17">
        <v>345.05982018361567</v>
      </c>
      <c r="AN17">
        <v>7.4722237420389286E-3</v>
      </c>
      <c r="AP17">
        <v>0.78937830600033898</v>
      </c>
      <c r="AQ17">
        <v>821554</v>
      </c>
      <c r="AR17">
        <v>0</v>
      </c>
      <c r="AS17">
        <v>114.21738623023337</v>
      </c>
      <c r="AT17">
        <v>2.0682563057770782E-3</v>
      </c>
      <c r="AV17">
        <v>3.6313784820200512</v>
      </c>
      <c r="AW17" s="104">
        <v>780507</v>
      </c>
      <c r="AX17">
        <v>0</v>
      </c>
      <c r="AY17">
        <v>355.93110000000013</v>
      </c>
      <c r="AZ17">
        <v>7.5860760033248818E-3</v>
      </c>
      <c r="BB17">
        <v>0.81502077581600729</v>
      </c>
      <c r="BC17">
        <v>821554</v>
      </c>
      <c r="BD17">
        <v>0</v>
      </c>
      <c r="BE17">
        <v>122.6856372668836</v>
      </c>
      <c r="BF17">
        <v>2.1442540070414498E-3</v>
      </c>
      <c r="BH17">
        <v>3.9370720368370833</v>
      </c>
      <c r="BI17" s="104">
        <v>780507</v>
      </c>
      <c r="BJ17">
        <v>0</v>
      </c>
      <c r="BK17">
        <v>355.64346779658683</v>
      </c>
      <c r="BL17">
        <v>7.6083233740498642E-3</v>
      </c>
      <c r="BN17">
        <v>0.81434210710185972</v>
      </c>
      <c r="BO17">
        <v>821554</v>
      </c>
      <c r="BP17">
        <v>0</v>
      </c>
      <c r="BQ17">
        <v>118.0242924659062</v>
      </c>
      <c r="BR17">
        <v>2.1010109918274357E-3</v>
      </c>
      <c r="BT17">
        <v>3.7685055907459022</v>
      </c>
      <c r="BU17" s="104">
        <v>780507</v>
      </c>
      <c r="BV17">
        <v>0</v>
      </c>
      <c r="BW17">
        <v>346.85589427157328</v>
      </c>
      <c r="BX17">
        <v>7.4706733780950116E-3</v>
      </c>
      <c r="BZ17">
        <v>0.79361357379807884</v>
      </c>
      <c r="CA17">
        <v>821554</v>
      </c>
      <c r="CB17">
        <v>0</v>
      </c>
      <c r="CC17">
        <v>117.61124214547471</v>
      </c>
      <c r="CD17">
        <v>2.097915523188575E-3</v>
      </c>
      <c r="CF17">
        <v>3.7536033223088632</v>
      </c>
      <c r="CG17">
        <v>780507</v>
      </c>
      <c r="CH17">
        <v>2</v>
      </c>
      <c r="CI17">
        <v>0</v>
      </c>
      <c r="CJ17">
        <v>4.2690110588005128</v>
      </c>
      <c r="CK17">
        <v>0</v>
      </c>
      <c r="CL17">
        <v>4.1205184020076402</v>
      </c>
      <c r="CM17">
        <v>4.2497812041732583</v>
      </c>
      <c r="CN17">
        <v>340.73391046430243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821554</v>
      </c>
      <c r="DC17">
        <v>2</v>
      </c>
      <c r="DD17">
        <v>0</v>
      </c>
      <c r="DE17">
        <v>0</v>
      </c>
      <c r="DF17">
        <v>0</v>
      </c>
      <c r="DG17">
        <v>5.0000000000000044</v>
      </c>
      <c r="DH17">
        <v>0</v>
      </c>
      <c r="DI17">
        <v>0</v>
      </c>
      <c r="DJ17">
        <v>5.0000000000000044</v>
      </c>
      <c r="DK17">
        <v>0</v>
      </c>
      <c r="DL17">
        <v>5.0136986301369868</v>
      </c>
      <c r="DM17">
        <v>5.0000000000000044</v>
      </c>
      <c r="DN17">
        <v>105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</row>
    <row r="18" spans="1:126">
      <c r="A18" s="104">
        <v>783167</v>
      </c>
      <c r="B18">
        <v>1393.8676568618853</v>
      </c>
      <c r="C18">
        <v>1393.863637371586</v>
      </c>
      <c r="D18">
        <v>2.9861894238524027E-2</v>
      </c>
      <c r="F18">
        <v>2.7397147598737003E-3</v>
      </c>
      <c r="G18">
        <v>826175</v>
      </c>
      <c r="H18">
        <v>0</v>
      </c>
      <c r="I18">
        <v>115.63796508330823</v>
      </c>
      <c r="J18">
        <v>2.0520649681166282E-3</v>
      </c>
      <c r="L18">
        <v>9.0717482343583053E-2</v>
      </c>
      <c r="M18" s="104">
        <v>783167</v>
      </c>
      <c r="N18">
        <v>1393.8676569557429</v>
      </c>
      <c r="O18">
        <v>1393.7872657807022</v>
      </c>
      <c r="P18">
        <v>3.0311584223841986E-2</v>
      </c>
      <c r="R18">
        <v>2.7395646473596996E-3</v>
      </c>
      <c r="S18">
        <v>826175</v>
      </c>
      <c r="T18">
        <v>0</v>
      </c>
      <c r="U18">
        <v>117.72492579824062</v>
      </c>
      <c r="V18">
        <v>2.1679267406633264E-3</v>
      </c>
      <c r="X18">
        <v>9.0106381610653236E-2</v>
      </c>
      <c r="Y18" s="104">
        <v>783167</v>
      </c>
      <c r="Z18">
        <v>1393.8693698630136</v>
      </c>
      <c r="AA18">
        <v>1393.8693698630136</v>
      </c>
      <c r="AB18">
        <v>2.963472668997584E-2</v>
      </c>
      <c r="AD18">
        <v>2.7397260273972612E-3</v>
      </c>
      <c r="AE18">
        <v>826175</v>
      </c>
      <c r="AF18">
        <v>0</v>
      </c>
      <c r="AG18">
        <v>115.4603150684931</v>
      </c>
      <c r="AH18">
        <v>1.996132828541425E-3</v>
      </c>
      <c r="AJ18">
        <v>9.0918509135791234E-2</v>
      </c>
      <c r="AK18" s="104">
        <v>783167</v>
      </c>
      <c r="AL18">
        <v>1393.8867366220104</v>
      </c>
      <c r="AM18">
        <v>1393.7682395494985</v>
      </c>
      <c r="AN18">
        <v>3.0181862741711567E-2</v>
      </c>
      <c r="AP18">
        <v>2.7395272502678636E-3</v>
      </c>
      <c r="AQ18">
        <v>826175</v>
      </c>
      <c r="AR18">
        <v>0</v>
      </c>
      <c r="AS18">
        <v>118.70843391929024</v>
      </c>
      <c r="AT18">
        <v>2.1495805070130786E-3</v>
      </c>
      <c r="AV18">
        <v>9.0136771661503703E-2</v>
      </c>
      <c r="AW18" s="104">
        <v>783167</v>
      </c>
      <c r="AX18">
        <v>1393.8693698630136</v>
      </c>
      <c r="AY18">
        <v>1393.8693698630136</v>
      </c>
      <c r="AZ18">
        <v>2.9707993986722088E-2</v>
      </c>
      <c r="BB18">
        <v>2.7397260273972612E-3</v>
      </c>
      <c r="BC18">
        <v>826175</v>
      </c>
      <c r="BD18">
        <v>0</v>
      </c>
      <c r="BE18">
        <v>115.46020386952334</v>
      </c>
      <c r="BF18">
        <v>2.0179705653929556E-3</v>
      </c>
      <c r="BH18">
        <v>9.0913960979477959E-2</v>
      </c>
      <c r="BI18" s="104">
        <v>783167</v>
      </c>
      <c r="BJ18">
        <v>1393.8693698630136</v>
      </c>
      <c r="BK18">
        <v>1393.8693698630136</v>
      </c>
      <c r="BL18">
        <v>2.9819214655635241E-2</v>
      </c>
      <c r="BN18">
        <v>2.7397260273972612E-3</v>
      </c>
      <c r="BO18">
        <v>826175</v>
      </c>
      <c r="BP18">
        <v>0</v>
      </c>
      <c r="BQ18">
        <v>115.45799770260129</v>
      </c>
      <c r="BR18">
        <v>2.055327061906565E-3</v>
      </c>
      <c r="BT18">
        <v>9.082418416427987E-2</v>
      </c>
      <c r="BU18" s="104">
        <v>783167</v>
      </c>
      <c r="BV18">
        <v>1393.8829130353333</v>
      </c>
      <c r="BW18">
        <v>1393.7873337557994</v>
      </c>
      <c r="BX18">
        <v>3.0019757775437753E-2</v>
      </c>
      <c r="BZ18">
        <v>2.7395647809684478E-3</v>
      </c>
      <c r="CA18">
        <v>826175</v>
      </c>
      <c r="CB18">
        <v>0</v>
      </c>
      <c r="CC18">
        <v>118.07831594065304</v>
      </c>
      <c r="CD18">
        <v>2.1062470512593968E-3</v>
      </c>
      <c r="CF18">
        <v>9.0346185280081009E-2</v>
      </c>
      <c r="CG18">
        <v>783167</v>
      </c>
      <c r="CH18">
        <v>2</v>
      </c>
      <c r="CI18">
        <v>1393.8676568618853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826175</v>
      </c>
      <c r="DC18">
        <v>1</v>
      </c>
      <c r="DD18">
        <v>0</v>
      </c>
      <c r="DE18">
        <v>0.31436562686667391</v>
      </c>
      <c r="DF18">
        <v>0</v>
      </c>
      <c r="DG18">
        <v>0</v>
      </c>
      <c r="DH18">
        <v>0</v>
      </c>
      <c r="DI18">
        <v>118.19252970821972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</row>
    <row r="19" spans="1:126">
      <c r="A19">
        <v>786906</v>
      </c>
      <c r="B19">
        <v>0</v>
      </c>
      <c r="C19">
        <v>652.35871737921536</v>
      </c>
      <c r="D19">
        <v>1.3976020682117861E-2</v>
      </c>
      <c r="F19">
        <v>0.17262132782653686</v>
      </c>
      <c r="G19">
        <v>826176</v>
      </c>
      <c r="H19">
        <v>0</v>
      </c>
      <c r="I19">
        <v>336.53513225861002</v>
      </c>
      <c r="J19">
        <v>5.9720175372410924E-3</v>
      </c>
      <c r="L19">
        <v>0.17615842820720129</v>
      </c>
      <c r="M19">
        <v>786906</v>
      </c>
      <c r="N19">
        <v>0</v>
      </c>
      <c r="O19">
        <v>653.31181064104953</v>
      </c>
      <c r="P19">
        <v>1.4207990314493706E-2</v>
      </c>
      <c r="R19">
        <v>0.17211357189933774</v>
      </c>
      <c r="S19">
        <v>826176</v>
      </c>
      <c r="T19">
        <v>0</v>
      </c>
      <c r="U19">
        <v>337.00347439404163</v>
      </c>
      <c r="V19">
        <v>6.2059826233180791E-3</v>
      </c>
      <c r="X19">
        <v>0.17514361142018012</v>
      </c>
      <c r="Y19">
        <v>786906</v>
      </c>
      <c r="Z19">
        <v>0</v>
      </c>
      <c r="AA19">
        <v>652.27589041095928</v>
      </c>
      <c r="AB19">
        <v>1.3867883287147003E-2</v>
      </c>
      <c r="AD19">
        <v>0.17280770445391405</v>
      </c>
      <c r="AE19">
        <v>826176</v>
      </c>
      <c r="AF19">
        <v>0</v>
      </c>
      <c r="AG19">
        <v>336.50795890410978</v>
      </c>
      <c r="AH19">
        <v>5.8177096038191933E-3</v>
      </c>
      <c r="AJ19">
        <v>0.17666446390929791</v>
      </c>
      <c r="AK19">
        <v>786906</v>
      </c>
      <c r="AL19">
        <v>0</v>
      </c>
      <c r="AM19">
        <v>653.77087959470271</v>
      </c>
      <c r="AN19">
        <v>1.4157319985159979E-2</v>
      </c>
      <c r="AP19">
        <v>0.17217632581954456</v>
      </c>
      <c r="AQ19">
        <v>826176</v>
      </c>
      <c r="AR19">
        <v>0</v>
      </c>
      <c r="AS19">
        <v>337.24970192709344</v>
      </c>
      <c r="AT19">
        <v>6.1069408577265945E-3</v>
      </c>
      <c r="AV19">
        <v>0.17537310974789594</v>
      </c>
      <c r="AW19">
        <v>786906</v>
      </c>
      <c r="AX19">
        <v>0</v>
      </c>
      <c r="AY19">
        <v>652.2747441716549</v>
      </c>
      <c r="AZ19">
        <v>1.3902145062163621E-2</v>
      </c>
      <c r="BB19">
        <v>0.17279965871362651</v>
      </c>
      <c r="BC19">
        <v>826176</v>
      </c>
      <c r="BD19">
        <v>0</v>
      </c>
      <c r="BE19">
        <v>336.50230032885395</v>
      </c>
      <c r="BF19">
        <v>5.881262240087632E-3</v>
      </c>
      <c r="BH19">
        <v>0.17656551308619686</v>
      </c>
      <c r="BI19">
        <v>786906</v>
      </c>
      <c r="BJ19">
        <v>0</v>
      </c>
      <c r="BK19">
        <v>652.26235704471753</v>
      </c>
      <c r="BL19">
        <v>1.395392685787946E-2</v>
      </c>
      <c r="BN19">
        <v>0.17271319182158729</v>
      </c>
      <c r="BO19">
        <v>826176</v>
      </c>
      <c r="BP19">
        <v>0</v>
      </c>
      <c r="BQ19">
        <v>336.48404018128599</v>
      </c>
      <c r="BR19">
        <v>5.9899250588568934E-3</v>
      </c>
      <c r="BT19">
        <v>0.17625088430106373</v>
      </c>
      <c r="BU19">
        <v>786906</v>
      </c>
      <c r="BV19">
        <v>0</v>
      </c>
      <c r="BW19">
        <v>653.48483916287557</v>
      </c>
      <c r="BX19">
        <v>1.4074928151863611E-2</v>
      </c>
      <c r="BZ19">
        <v>0.1723566289886187</v>
      </c>
      <c r="CA19">
        <v>826176</v>
      </c>
      <c r="CB19">
        <v>0</v>
      </c>
      <c r="CC19">
        <v>337.11146864921085</v>
      </c>
      <c r="CD19">
        <v>6.0132974554362364E-3</v>
      </c>
      <c r="CF19">
        <v>0.17575103885696883</v>
      </c>
      <c r="CG19">
        <v>786906</v>
      </c>
      <c r="CH19">
        <v>2</v>
      </c>
      <c r="CI19">
        <v>0</v>
      </c>
      <c r="CJ19">
        <v>0</v>
      </c>
      <c r="CK19">
        <v>673.11093955642355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826176</v>
      </c>
      <c r="DC19">
        <v>1</v>
      </c>
      <c r="DD19">
        <v>0</v>
      </c>
      <c r="DE19">
        <v>0</v>
      </c>
      <c r="DF19">
        <v>355.93385240236103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</row>
    <row r="20" spans="1:126">
      <c r="A20">
        <v>786939</v>
      </c>
      <c r="B20">
        <v>0</v>
      </c>
      <c r="C20">
        <v>311.2669065312482</v>
      </c>
      <c r="D20">
        <v>6.6685285372077938E-3</v>
      </c>
      <c r="F20">
        <v>3.0897354628998692</v>
      </c>
      <c r="G20">
        <v>826177</v>
      </c>
      <c r="H20">
        <v>9.0317981210064069E-3</v>
      </c>
      <c r="I20">
        <v>50.22541228082806</v>
      </c>
      <c r="J20">
        <v>8.9128003053712485E-4</v>
      </c>
      <c r="L20">
        <v>1.4890460665667021E-2</v>
      </c>
      <c r="M20">
        <v>786939</v>
      </c>
      <c r="N20">
        <v>0</v>
      </c>
      <c r="O20">
        <v>293.20994794761668</v>
      </c>
      <c r="P20">
        <v>6.3766245041019676E-3</v>
      </c>
      <c r="R20">
        <v>2.8936669022227073</v>
      </c>
      <c r="S20">
        <v>826177</v>
      </c>
      <c r="T20">
        <v>9.3963304970312578E-2</v>
      </c>
      <c r="U20">
        <v>50.295932657660472</v>
      </c>
      <c r="V20">
        <v>9.2620909816511926E-4</v>
      </c>
      <c r="X20">
        <v>1.3895242237270861E-2</v>
      </c>
      <c r="Y20">
        <v>786939</v>
      </c>
      <c r="Z20">
        <v>0</v>
      </c>
      <c r="AA20">
        <v>319.52462465753462</v>
      </c>
      <c r="AB20">
        <v>6.793337401031883E-3</v>
      </c>
      <c r="AD20">
        <v>3.1797225779881502</v>
      </c>
      <c r="AE20">
        <v>826177</v>
      </c>
      <c r="AF20">
        <v>4.2465753424592023E-3</v>
      </c>
      <c r="AG20">
        <v>50.225068493150445</v>
      </c>
      <c r="AH20">
        <v>8.6831486624166598E-4</v>
      </c>
      <c r="AJ20">
        <v>1.5371545206862545E-2</v>
      </c>
      <c r="AK20">
        <v>786939</v>
      </c>
      <c r="AL20">
        <v>0</v>
      </c>
      <c r="AM20">
        <v>300.93387016205656</v>
      </c>
      <c r="AN20">
        <v>6.5166822616786104E-3</v>
      </c>
      <c r="AP20">
        <v>2.9774145165374866</v>
      </c>
      <c r="AQ20">
        <v>826177</v>
      </c>
      <c r="AR20">
        <v>0.13625481015195895</v>
      </c>
      <c r="AS20">
        <v>50.337546996908308</v>
      </c>
      <c r="AT20">
        <v>9.1151577207207565E-4</v>
      </c>
      <c r="AV20">
        <v>1.4108623757428794E-2</v>
      </c>
      <c r="AW20">
        <v>786939</v>
      </c>
      <c r="AX20">
        <v>0</v>
      </c>
      <c r="AY20">
        <v>318.49231332337922</v>
      </c>
      <c r="AZ20">
        <v>6.7881308920347671E-3</v>
      </c>
      <c r="BB20">
        <v>3.1684624615923136</v>
      </c>
      <c r="BC20">
        <v>826177</v>
      </c>
      <c r="BD20">
        <v>4.2465753424592023E-3</v>
      </c>
      <c r="BE20">
        <v>50.224320813031476</v>
      </c>
      <c r="BF20">
        <v>8.7780202763268098E-4</v>
      </c>
      <c r="BH20">
        <v>1.5283443525781041E-2</v>
      </c>
      <c r="BI20">
        <v>786939</v>
      </c>
      <c r="BJ20">
        <v>0</v>
      </c>
      <c r="BK20">
        <v>313.30738743158872</v>
      </c>
      <c r="BL20">
        <v>6.7026225276311125E-3</v>
      </c>
      <c r="BN20">
        <v>3.1119529821056955</v>
      </c>
      <c r="BO20">
        <v>826177</v>
      </c>
      <c r="BP20">
        <v>4.2465753424592023E-3</v>
      </c>
      <c r="BQ20">
        <v>50.221780060170168</v>
      </c>
      <c r="BR20">
        <v>8.9402367708358113E-4</v>
      </c>
      <c r="BT20">
        <v>1.4988077129398487E-2</v>
      </c>
      <c r="BU20">
        <v>786939</v>
      </c>
      <c r="BV20">
        <v>0</v>
      </c>
      <c r="BW20">
        <v>306.00138777035579</v>
      </c>
      <c r="BX20">
        <v>6.5907382836235063E-3</v>
      </c>
      <c r="BZ20">
        <v>3.032458999300141</v>
      </c>
      <c r="CA20">
        <v>826177</v>
      </c>
      <c r="CB20">
        <v>0.11075793327285366</v>
      </c>
      <c r="CC20">
        <v>50.3170426019255</v>
      </c>
      <c r="CD20">
        <v>8.9754093936828634E-4</v>
      </c>
      <c r="CF20">
        <v>1.4477335807551211E-2</v>
      </c>
      <c r="CG20">
        <v>786939</v>
      </c>
      <c r="CH20">
        <v>2</v>
      </c>
      <c r="CI20">
        <v>0</v>
      </c>
      <c r="CJ20">
        <v>0</v>
      </c>
      <c r="CK20">
        <v>3.3526801792308154</v>
      </c>
      <c r="CL20">
        <v>3.4273381334056596</v>
      </c>
      <c r="CM20">
        <v>3.4279348475829967</v>
      </c>
      <c r="CN20">
        <v>3.3920804590974436</v>
      </c>
      <c r="CO20">
        <v>6.7822024178711038</v>
      </c>
      <c r="CP20">
        <v>6.8102653257261245</v>
      </c>
      <c r="CQ20">
        <v>13.626219046183373</v>
      </c>
      <c r="CR20">
        <v>279.55400465816609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826177</v>
      </c>
      <c r="DC20">
        <v>1</v>
      </c>
      <c r="DD20">
        <v>0</v>
      </c>
      <c r="DE20">
        <v>53.115940379733516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</row>
    <row r="21" spans="1:126">
      <c r="A21" s="104">
        <v>788173</v>
      </c>
      <c r="B21">
        <v>0</v>
      </c>
      <c r="C21">
        <v>1988.751733584746</v>
      </c>
      <c r="D21">
        <v>4.2606674241805302E-2</v>
      </c>
      <c r="F21">
        <v>0.94720490762153575</v>
      </c>
      <c r="G21">
        <v>826178</v>
      </c>
      <c r="H21">
        <v>0</v>
      </c>
      <c r="I21">
        <v>607.70758855073689</v>
      </c>
      <c r="J21">
        <v>1.0784135231238232E-2</v>
      </c>
      <c r="L21">
        <v>9.3029947123572182E-2</v>
      </c>
      <c r="M21" s="104">
        <v>788173</v>
      </c>
      <c r="N21">
        <v>0</v>
      </c>
      <c r="O21">
        <v>1951.7857478895723</v>
      </c>
      <c r="P21">
        <v>4.2446734545899971E-2</v>
      </c>
      <c r="R21">
        <v>0.92920923968877567</v>
      </c>
      <c r="S21">
        <v>826178</v>
      </c>
      <c r="T21">
        <v>0</v>
      </c>
      <c r="U21">
        <v>609.62868602619346</v>
      </c>
      <c r="V21">
        <v>1.1226427380185136E-2</v>
      </c>
      <c r="X21">
        <v>9.2181016078919306E-2</v>
      </c>
      <c r="Y21" s="104">
        <v>788173</v>
      </c>
      <c r="Z21">
        <v>0</v>
      </c>
      <c r="AA21">
        <v>1998.6120000000003</v>
      </c>
      <c r="AB21">
        <v>4.2492016583395353E-2</v>
      </c>
      <c r="AD21">
        <v>0.95200636233992297</v>
      </c>
      <c r="AE21">
        <v>826178</v>
      </c>
      <c r="AF21">
        <v>0</v>
      </c>
      <c r="AG21">
        <v>607.57415068493253</v>
      </c>
      <c r="AH21">
        <v>1.0504030819904784E-2</v>
      </c>
      <c r="AJ21">
        <v>9.3407180385323321E-2</v>
      </c>
      <c r="AK21" s="104">
        <v>788173</v>
      </c>
      <c r="AL21">
        <v>0</v>
      </c>
      <c r="AM21">
        <v>1952.4056644558248</v>
      </c>
      <c r="AN21">
        <v>4.2279080630932345E-2</v>
      </c>
      <c r="AP21">
        <v>0.92951096099054742</v>
      </c>
      <c r="AQ21">
        <v>826178</v>
      </c>
      <c r="AR21">
        <v>0</v>
      </c>
      <c r="AS21">
        <v>610.59176346492029</v>
      </c>
      <c r="AT21">
        <v>1.1056637756499354E-2</v>
      </c>
      <c r="AV21">
        <v>9.23349404962856E-2</v>
      </c>
      <c r="AW21" s="104">
        <v>788173</v>
      </c>
      <c r="AX21">
        <v>0</v>
      </c>
      <c r="AY21">
        <v>1998.6120000000003</v>
      </c>
      <c r="AZ21">
        <v>4.2597071548839495E-2</v>
      </c>
      <c r="BB21">
        <v>0.95200636233992297</v>
      </c>
      <c r="BC21">
        <v>826178</v>
      </c>
      <c r="BD21">
        <v>0</v>
      </c>
      <c r="BE21">
        <v>607.56819343417931</v>
      </c>
      <c r="BF21">
        <v>1.061885125549111E-2</v>
      </c>
      <c r="BH21">
        <v>9.3353047621630686E-2</v>
      </c>
      <c r="BI21" s="104">
        <v>788173</v>
      </c>
      <c r="BJ21">
        <v>0</v>
      </c>
      <c r="BK21">
        <v>1998.6120000000003</v>
      </c>
      <c r="BL21">
        <v>4.275654629471163E-2</v>
      </c>
      <c r="BN21">
        <v>0.95200636233992297</v>
      </c>
      <c r="BO21">
        <v>826178</v>
      </c>
      <c r="BP21">
        <v>0</v>
      </c>
      <c r="BQ21">
        <v>607.54372830345972</v>
      </c>
      <c r="BR21">
        <v>1.0815197655602309E-2</v>
      </c>
      <c r="BT21">
        <v>9.3133186821039868E-2</v>
      </c>
      <c r="BU21" s="104">
        <v>788173</v>
      </c>
      <c r="BV21">
        <v>0</v>
      </c>
      <c r="BW21">
        <v>1961.9140275694674</v>
      </c>
      <c r="BX21">
        <v>4.225621976715991E-2</v>
      </c>
      <c r="BZ21">
        <v>0.93413908030221393</v>
      </c>
      <c r="CA21">
        <v>826178</v>
      </c>
      <c r="CB21">
        <v>0</v>
      </c>
      <c r="CC21">
        <v>610.01761057703982</v>
      </c>
      <c r="CD21">
        <v>1.0881318752377585E-2</v>
      </c>
      <c r="CF21">
        <v>9.2644511693173892E-2</v>
      </c>
      <c r="CG21">
        <v>788173</v>
      </c>
      <c r="CH21">
        <v>2</v>
      </c>
      <c r="CI21">
        <v>0</v>
      </c>
      <c r="CJ21">
        <v>0</v>
      </c>
      <c r="CK21">
        <v>23.468719043597208</v>
      </c>
      <c r="CL21">
        <v>23.730957632817603</v>
      </c>
      <c r="CM21">
        <v>23.996685918773029</v>
      </c>
      <c r="CN21">
        <v>1929.002877786859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826178</v>
      </c>
      <c r="DC21">
        <v>1</v>
      </c>
      <c r="DD21">
        <v>0</v>
      </c>
      <c r="DE21">
        <v>0.41685743398205632</v>
      </c>
      <c r="DF21">
        <v>636.60094485168463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</row>
    <row r="22" spans="1:126">
      <c r="A22">
        <v>794650</v>
      </c>
      <c r="B22">
        <v>0</v>
      </c>
      <c r="C22">
        <v>160.3527208669405</v>
      </c>
      <c r="D22">
        <v>3.4353690440032674E-3</v>
      </c>
      <c r="F22">
        <v>0.12676754813236557</v>
      </c>
      <c r="G22">
        <v>826923</v>
      </c>
      <c r="H22">
        <v>0</v>
      </c>
      <c r="I22">
        <v>250.90719899200596</v>
      </c>
      <c r="J22">
        <v>4.4524985624646149E-3</v>
      </c>
      <c r="L22">
        <v>0.17262132782653689</v>
      </c>
      <c r="M22">
        <v>794650</v>
      </c>
      <c r="N22">
        <v>0</v>
      </c>
      <c r="O22">
        <v>161.52981127234966</v>
      </c>
      <c r="P22">
        <v>3.5128922463648743E-3</v>
      </c>
      <c r="R22">
        <v>0.12673291658984462</v>
      </c>
      <c r="S22">
        <v>826923</v>
      </c>
      <c r="T22">
        <v>0</v>
      </c>
      <c r="U22">
        <v>251.27377332348058</v>
      </c>
      <c r="V22">
        <v>4.6272539882415446E-3</v>
      </c>
      <c r="X22">
        <v>0.17211357189933776</v>
      </c>
      <c r="Y22">
        <v>794650</v>
      </c>
      <c r="Z22">
        <v>0</v>
      </c>
      <c r="AA22">
        <v>160.23934246575342</v>
      </c>
      <c r="AB22">
        <v>3.406810725326957E-3</v>
      </c>
      <c r="AD22">
        <v>0.12677629388174427</v>
      </c>
      <c r="AE22">
        <v>826923</v>
      </c>
      <c r="AF22">
        <v>0</v>
      </c>
      <c r="AG22">
        <v>250.87534246575365</v>
      </c>
      <c r="AH22">
        <v>4.337252212332797E-3</v>
      </c>
      <c r="AJ22">
        <v>0.17280770445391408</v>
      </c>
      <c r="AK22">
        <v>794650</v>
      </c>
      <c r="AL22">
        <v>0</v>
      </c>
      <c r="AM22">
        <v>162.06246029485689</v>
      </c>
      <c r="AN22">
        <v>3.5094406612281967E-3</v>
      </c>
      <c r="AP22">
        <v>0.12672525964639442</v>
      </c>
      <c r="AQ22">
        <v>826923</v>
      </c>
      <c r="AR22">
        <v>0</v>
      </c>
      <c r="AS22">
        <v>251.45033830565501</v>
      </c>
      <c r="AT22">
        <v>4.5532800649292883E-3</v>
      </c>
      <c r="AV22">
        <v>0.17217632581954459</v>
      </c>
      <c r="AW22">
        <v>794650</v>
      </c>
      <c r="AX22">
        <v>0</v>
      </c>
      <c r="AY22">
        <v>160.23934246575342</v>
      </c>
      <c r="AZ22">
        <v>3.415233540053143E-3</v>
      </c>
      <c r="BB22">
        <v>0.12677629388174427</v>
      </c>
      <c r="BC22">
        <v>826923</v>
      </c>
      <c r="BD22">
        <v>0</v>
      </c>
      <c r="BE22">
        <v>250.87490160448272</v>
      </c>
      <c r="BF22">
        <v>4.3846983641723071E-3</v>
      </c>
      <c r="BH22">
        <v>0.17279965871362654</v>
      </c>
      <c r="BI22">
        <v>794650</v>
      </c>
      <c r="BJ22">
        <v>0</v>
      </c>
      <c r="BK22">
        <v>160.23934246575342</v>
      </c>
      <c r="BL22">
        <v>3.4280194777030941E-3</v>
      </c>
      <c r="BN22">
        <v>0.12677629388174427</v>
      </c>
      <c r="BO22">
        <v>826923</v>
      </c>
      <c r="BP22">
        <v>0</v>
      </c>
      <c r="BQ22">
        <v>250.87013732489143</v>
      </c>
      <c r="BR22">
        <v>4.4658680431667363E-3</v>
      </c>
      <c r="BT22">
        <v>0.17271319182158731</v>
      </c>
      <c r="BU22">
        <v>794650</v>
      </c>
      <c r="BV22">
        <v>0</v>
      </c>
      <c r="BW22">
        <v>161.70536669388093</v>
      </c>
      <c r="BX22">
        <v>3.4828526716896967E-3</v>
      </c>
      <c r="BZ22">
        <v>0.12673617176664986</v>
      </c>
      <c r="CA22">
        <v>826923</v>
      </c>
      <c r="CB22">
        <v>0</v>
      </c>
      <c r="CC22">
        <v>251.34032275495215</v>
      </c>
      <c r="CD22">
        <v>4.4833364148865011E-3</v>
      </c>
      <c r="CF22">
        <v>0.17235662898861873</v>
      </c>
      <c r="CG22">
        <v>794650</v>
      </c>
      <c r="CH22">
        <v>2</v>
      </c>
      <c r="CI22">
        <v>0</v>
      </c>
      <c r="CJ22">
        <v>0</v>
      </c>
      <c r="CK22">
        <v>0.23241981665606204</v>
      </c>
      <c r="CL22">
        <v>161.19353395719261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826923</v>
      </c>
      <c r="DC22">
        <v>1</v>
      </c>
      <c r="DD22">
        <v>0</v>
      </c>
      <c r="DE22">
        <v>0</v>
      </c>
      <c r="DF22">
        <v>258.88882290631676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</row>
    <row r="23" spans="1:126">
      <c r="A23">
        <v>794659</v>
      </c>
      <c r="B23">
        <v>0</v>
      </c>
      <c r="C23">
        <v>156.7286580038093</v>
      </c>
      <c r="D23">
        <v>3.3577277460807098E-3</v>
      </c>
      <c r="F23">
        <v>0.12896250691218639</v>
      </c>
      <c r="G23">
        <v>826926</v>
      </c>
      <c r="H23">
        <v>0</v>
      </c>
      <c r="I23">
        <v>1252.6357591329979</v>
      </c>
      <c r="J23">
        <v>2.2228771989157403E-2</v>
      </c>
      <c r="L23">
        <v>0.42421597158750962</v>
      </c>
      <c r="M23">
        <v>794659</v>
      </c>
      <c r="N23">
        <v>0</v>
      </c>
      <c r="O23">
        <v>159.43723857380513</v>
      </c>
      <c r="P23">
        <v>3.4673837278457902E-3</v>
      </c>
      <c r="R23">
        <v>0.12871145107058377</v>
      </c>
      <c r="S23">
        <v>826926</v>
      </c>
      <c r="T23">
        <v>0</v>
      </c>
      <c r="U23">
        <v>1254.4423463458129</v>
      </c>
      <c r="V23">
        <v>2.310079270658735E-2</v>
      </c>
      <c r="X23">
        <v>0.42369150816400891</v>
      </c>
      <c r="Y23">
        <v>794659</v>
      </c>
      <c r="Z23">
        <v>0</v>
      </c>
      <c r="AA23">
        <v>156.46842739726026</v>
      </c>
      <c r="AB23">
        <v>3.3266381927768737E-3</v>
      </c>
      <c r="AD23">
        <v>0.129026618078429</v>
      </c>
      <c r="AE23">
        <v>826926</v>
      </c>
      <c r="AF23">
        <v>0</v>
      </c>
      <c r="AG23">
        <v>1252.3697095890404</v>
      </c>
      <c r="AH23">
        <v>2.1651563043965292E-2</v>
      </c>
      <c r="AJ23">
        <v>0.42441932907162977</v>
      </c>
      <c r="AK23">
        <v>794659</v>
      </c>
      <c r="AL23">
        <v>0</v>
      </c>
      <c r="AM23">
        <v>160.66584902081539</v>
      </c>
      <c r="AN23">
        <v>3.4791972329590373E-3</v>
      </c>
      <c r="AP23">
        <v>0.12869600050836463</v>
      </c>
      <c r="AQ23">
        <v>826926</v>
      </c>
      <c r="AR23">
        <v>0</v>
      </c>
      <c r="AS23">
        <v>1255.1464018789707</v>
      </c>
      <c r="AT23">
        <v>2.2728277594505481E-2</v>
      </c>
      <c r="AV23">
        <v>0.42377142953395702</v>
      </c>
      <c r="AW23">
        <v>794659</v>
      </c>
      <c r="AX23">
        <v>0</v>
      </c>
      <c r="AY23">
        <v>156.46842739726026</v>
      </c>
      <c r="AZ23">
        <v>3.3348627932662731E-3</v>
      </c>
      <c r="BB23">
        <v>0.129026618078429</v>
      </c>
      <c r="BC23">
        <v>826926</v>
      </c>
      <c r="BD23">
        <v>0</v>
      </c>
      <c r="BE23">
        <v>1252.3665224131234</v>
      </c>
      <c r="BF23">
        <v>2.1888396994077242E-2</v>
      </c>
      <c r="BH23">
        <v>0.42440765609933367</v>
      </c>
      <c r="BI23">
        <v>794659</v>
      </c>
      <c r="BJ23">
        <v>0</v>
      </c>
      <c r="BK23">
        <v>156.46818394599492</v>
      </c>
      <c r="BL23">
        <v>3.3473426310541444E-3</v>
      </c>
      <c r="BN23">
        <v>0.12902127492825144</v>
      </c>
      <c r="BO23">
        <v>826926</v>
      </c>
      <c r="BP23">
        <v>0</v>
      </c>
      <c r="BQ23">
        <v>1252.3387306612885</v>
      </c>
      <c r="BR23">
        <v>2.2293524355341141E-2</v>
      </c>
      <c r="BT23">
        <v>0.42430655278864721</v>
      </c>
      <c r="BU23">
        <v>794659</v>
      </c>
      <c r="BV23">
        <v>0</v>
      </c>
      <c r="BW23">
        <v>159.84442746427024</v>
      </c>
      <c r="BX23">
        <v>3.4427712736494484E-3</v>
      </c>
      <c r="BZ23">
        <v>0.12877831609450072</v>
      </c>
      <c r="CA23">
        <v>826926</v>
      </c>
      <c r="CB23">
        <v>0</v>
      </c>
      <c r="CC23">
        <v>1254.5919750770311</v>
      </c>
      <c r="CD23">
        <v>2.2379050945880934E-2</v>
      </c>
      <c r="CF23">
        <v>0.42395971832143009</v>
      </c>
      <c r="CG23">
        <v>794659</v>
      </c>
      <c r="CH23">
        <v>2</v>
      </c>
      <c r="CI23">
        <v>0</v>
      </c>
      <c r="CJ23">
        <v>0</v>
      </c>
      <c r="CK23">
        <v>0.45697459807998886</v>
      </c>
      <c r="CL23">
        <v>0</v>
      </c>
      <c r="CM23">
        <v>0</v>
      </c>
      <c r="CN23">
        <v>157.95408168915159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826926</v>
      </c>
      <c r="DC23">
        <v>1</v>
      </c>
      <c r="DD23">
        <v>0</v>
      </c>
      <c r="DE23">
        <v>0</v>
      </c>
      <c r="DF23">
        <v>0</v>
      </c>
      <c r="DG23">
        <v>1292.5500679793893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</row>
    <row r="24" spans="1:126">
      <c r="A24">
        <v>795432</v>
      </c>
      <c r="B24">
        <v>0</v>
      </c>
      <c r="C24">
        <v>351.6709233084419</v>
      </c>
      <c r="D24">
        <v>7.5341372262236628E-3</v>
      </c>
      <c r="F24">
        <v>2.8959271446971373</v>
      </c>
      <c r="G24">
        <v>830792</v>
      </c>
      <c r="H24">
        <v>0.41906209095898816</v>
      </c>
      <c r="I24">
        <v>1000.3097076880779</v>
      </c>
      <c r="J24">
        <v>1.7751095039893489E-2</v>
      </c>
      <c r="L24">
        <v>6.575342465753424E-2</v>
      </c>
      <c r="M24">
        <v>795432</v>
      </c>
      <c r="N24">
        <v>0</v>
      </c>
      <c r="O24">
        <v>332.47196330170664</v>
      </c>
      <c r="P24">
        <v>7.2304806946567489E-3</v>
      </c>
      <c r="R24">
        <v>2.7241171893506788</v>
      </c>
      <c r="S24">
        <v>830792</v>
      </c>
      <c r="T24">
        <v>5.4601579813697843</v>
      </c>
      <c r="U24">
        <v>1004.0300286141683</v>
      </c>
      <c r="V24">
        <v>1.8489402585753427E-2</v>
      </c>
      <c r="X24">
        <v>6.575342465753424E-2</v>
      </c>
      <c r="Y24">
        <v>795432</v>
      </c>
      <c r="Z24">
        <v>0</v>
      </c>
      <c r="AA24">
        <v>360.36438356164399</v>
      </c>
      <c r="AB24">
        <v>7.6616218467448491E-3</v>
      </c>
      <c r="AD24">
        <v>2.9739677599530787</v>
      </c>
      <c r="AE24">
        <v>830792</v>
      </c>
      <c r="AF24">
        <v>0</v>
      </c>
      <c r="AG24">
        <v>1000</v>
      </c>
      <c r="AH24">
        <v>1.7288475502230213E-2</v>
      </c>
      <c r="AJ24">
        <v>6.575342465753424E-2</v>
      </c>
      <c r="AK24">
        <v>795432</v>
      </c>
      <c r="AL24">
        <v>0</v>
      </c>
      <c r="AM24">
        <v>337.99470806081757</v>
      </c>
      <c r="AN24">
        <v>7.3192296944675625E-3</v>
      </c>
      <c r="AP24">
        <v>2.7734618170901557</v>
      </c>
      <c r="AQ24">
        <v>830792</v>
      </c>
      <c r="AR24">
        <v>7.8575994252374493</v>
      </c>
      <c r="AS24">
        <v>1005.7959103729106</v>
      </c>
      <c r="AT24">
        <v>1.8213021700219299E-2</v>
      </c>
      <c r="AV24">
        <v>6.575342465753424E-2</v>
      </c>
      <c r="AW24">
        <v>795432</v>
      </c>
      <c r="AX24">
        <v>0</v>
      </c>
      <c r="AY24">
        <v>359.71182424278527</v>
      </c>
      <c r="AZ24">
        <v>7.6666558162532296E-3</v>
      </c>
      <c r="BB24">
        <v>2.9681046814192169</v>
      </c>
      <c r="BC24">
        <v>830792</v>
      </c>
      <c r="BD24">
        <v>0</v>
      </c>
      <c r="BE24">
        <v>1000</v>
      </c>
      <c r="BF24">
        <v>1.7477628635346756E-2</v>
      </c>
      <c r="BH24">
        <v>6.575342465753424E-2</v>
      </c>
      <c r="BI24">
        <v>795432</v>
      </c>
      <c r="BJ24">
        <v>0</v>
      </c>
      <c r="BK24">
        <v>353.41079228498711</v>
      </c>
      <c r="BL24">
        <v>7.5605594789702876E-3</v>
      </c>
      <c r="BN24">
        <v>2.911533991670733</v>
      </c>
      <c r="BO24">
        <v>830792</v>
      </c>
      <c r="BP24">
        <v>0</v>
      </c>
      <c r="BQ24">
        <v>1000</v>
      </c>
      <c r="BR24">
        <v>1.7801513128615932E-2</v>
      </c>
      <c r="BT24">
        <v>6.575342465753424E-2</v>
      </c>
      <c r="BU24">
        <v>795432</v>
      </c>
      <c r="BV24">
        <v>0</v>
      </c>
      <c r="BW24">
        <v>345.28439261108201</v>
      </c>
      <c r="BX24">
        <v>7.4368259624605741E-3</v>
      </c>
      <c r="BZ24">
        <v>2.8386908834336446</v>
      </c>
      <c r="CA24">
        <v>830792</v>
      </c>
      <c r="CB24">
        <v>6.3329600079804482</v>
      </c>
      <c r="CC24">
        <v>1004.673163061174</v>
      </c>
      <c r="CD24">
        <v>1.7921071030862348E-2</v>
      </c>
      <c r="CF24">
        <v>6.575342465753424E-2</v>
      </c>
      <c r="CG24">
        <v>795432</v>
      </c>
      <c r="CH24">
        <v>2</v>
      </c>
      <c r="CI24">
        <v>0</v>
      </c>
      <c r="CJ24">
        <v>0</v>
      </c>
      <c r="CK24">
        <v>3.8219178082191796</v>
      </c>
      <c r="CL24">
        <v>3.9068493150685391</v>
      </c>
      <c r="CM24">
        <v>3.9068493150685391</v>
      </c>
      <c r="CN24">
        <v>3.8643835616438249</v>
      </c>
      <c r="CO24">
        <v>7.7287671232877191</v>
      </c>
      <c r="CP24">
        <v>7.7712328767123644</v>
      </c>
      <c r="CQ24">
        <v>15.542465753424729</v>
      </c>
      <c r="CR24">
        <v>313.82191780821915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830792</v>
      </c>
      <c r="DC24">
        <v>1</v>
      </c>
      <c r="DD24">
        <v>0</v>
      </c>
      <c r="DE24">
        <v>0.41906209095898816</v>
      </c>
      <c r="DF24">
        <v>1008.829473329006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</row>
    <row r="25" spans="1:126">
      <c r="A25">
        <v>809751</v>
      </c>
      <c r="B25">
        <v>0</v>
      </c>
      <c r="C25">
        <v>450.77805782857268</v>
      </c>
      <c r="D25">
        <v>9.6573913882334484E-3</v>
      </c>
      <c r="F25">
        <v>0.1242157064876554</v>
      </c>
      <c r="G25">
        <v>830800</v>
      </c>
      <c r="H25">
        <v>0</v>
      </c>
      <c r="I25">
        <v>600.59403735085596</v>
      </c>
      <c r="J25">
        <v>1.0657901003528819E-2</v>
      </c>
      <c r="L25">
        <v>0.81095890410958904</v>
      </c>
      <c r="M25">
        <v>809751</v>
      </c>
      <c r="N25">
        <v>0</v>
      </c>
      <c r="O25">
        <v>451.87456991342782</v>
      </c>
      <c r="P25">
        <v>9.8272056438047026E-3</v>
      </c>
      <c r="R25">
        <v>0.12417388324184367</v>
      </c>
      <c r="S25">
        <v>830800</v>
      </c>
      <c r="T25">
        <v>0</v>
      </c>
      <c r="U25">
        <v>602.80755290582943</v>
      </c>
      <c r="V25">
        <v>1.1100814925617911E-2</v>
      </c>
      <c r="X25">
        <v>0.81095890410958904</v>
      </c>
      <c r="Y25">
        <v>809751</v>
      </c>
      <c r="Z25">
        <v>0</v>
      </c>
      <c r="AA25">
        <v>450.67438356164382</v>
      </c>
      <c r="AB25">
        <v>9.5816813768819769E-3</v>
      </c>
      <c r="AD25">
        <v>0.12422686047048198</v>
      </c>
      <c r="AE25">
        <v>830800</v>
      </c>
      <c r="AF25">
        <v>0</v>
      </c>
      <c r="AG25">
        <v>600</v>
      </c>
      <c r="AH25">
        <v>1.0373085301338129E-2</v>
      </c>
      <c r="AJ25">
        <v>0.81095890410958904</v>
      </c>
      <c r="AK25">
        <v>809751</v>
      </c>
      <c r="AL25">
        <v>0</v>
      </c>
      <c r="AM25">
        <v>452.37392577689121</v>
      </c>
      <c r="AN25">
        <v>9.7960961860778968E-3</v>
      </c>
      <c r="AP25">
        <v>0.12416635568228646</v>
      </c>
      <c r="AQ25">
        <v>830800</v>
      </c>
      <c r="AR25">
        <v>0</v>
      </c>
      <c r="AS25">
        <v>603.2963860326156</v>
      </c>
      <c r="AT25">
        <v>1.0924532558898588E-2</v>
      </c>
      <c r="AV25">
        <v>0.81095890410958904</v>
      </c>
      <c r="AW25">
        <v>809751</v>
      </c>
      <c r="AX25">
        <v>0</v>
      </c>
      <c r="AY25">
        <v>450.67438356164382</v>
      </c>
      <c r="AZ25">
        <v>9.6053706081042616E-3</v>
      </c>
      <c r="BB25">
        <v>0.12422686047048198</v>
      </c>
      <c r="BC25">
        <v>830800</v>
      </c>
      <c r="BD25">
        <v>0</v>
      </c>
      <c r="BE25">
        <v>600</v>
      </c>
      <c r="BF25">
        <v>1.0486577181208054E-2</v>
      </c>
      <c r="BH25">
        <v>0.81095890410958904</v>
      </c>
      <c r="BI25">
        <v>809751</v>
      </c>
      <c r="BJ25">
        <v>0</v>
      </c>
      <c r="BK25">
        <v>450.67438356164382</v>
      </c>
      <c r="BL25">
        <v>9.6413311561193704E-3</v>
      </c>
      <c r="BN25">
        <v>0.12422686047048198</v>
      </c>
      <c r="BO25">
        <v>830800</v>
      </c>
      <c r="BP25">
        <v>0</v>
      </c>
      <c r="BQ25">
        <v>600</v>
      </c>
      <c r="BR25">
        <v>1.0680907877169559E-2</v>
      </c>
      <c r="BT25">
        <v>0.81095890410958904</v>
      </c>
      <c r="BU25">
        <v>809751</v>
      </c>
      <c r="BV25">
        <v>0</v>
      </c>
      <c r="BW25">
        <v>452.04152605766507</v>
      </c>
      <c r="BX25">
        <v>9.7361891502652457E-3</v>
      </c>
      <c r="BZ25">
        <v>0.12417974043218009</v>
      </c>
      <c r="CA25">
        <v>830800</v>
      </c>
      <c r="CB25">
        <v>0</v>
      </c>
      <c r="CC25">
        <v>602.58441416805863</v>
      </c>
      <c r="CD25">
        <v>1.0748727531939469E-2</v>
      </c>
      <c r="CF25">
        <v>0.81095890410958904</v>
      </c>
      <c r="CG25">
        <v>809751</v>
      </c>
      <c r="CH25">
        <v>3</v>
      </c>
      <c r="CI25">
        <v>0</v>
      </c>
      <c r="CJ25">
        <v>0</v>
      </c>
      <c r="CK25">
        <v>454.23261204217175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830800</v>
      </c>
      <c r="DC25">
        <v>1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625.45845459885447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</row>
    <row r="26" spans="1:126">
      <c r="A26">
        <v>809754</v>
      </c>
      <c r="B26">
        <v>0</v>
      </c>
      <c r="C26">
        <v>1429.0735164135131</v>
      </c>
      <c r="D26">
        <v>3.0616224616267392E-2</v>
      </c>
      <c r="F26">
        <v>0.37778510299171253</v>
      </c>
      <c r="G26">
        <v>830807</v>
      </c>
      <c r="H26">
        <v>0.4211548004886545</v>
      </c>
      <c r="I26">
        <v>3000.1086737907126</v>
      </c>
      <c r="J26">
        <v>5.323872575579771E-2</v>
      </c>
      <c r="L26">
        <v>6.3013698630136991E-2</v>
      </c>
      <c r="M26">
        <v>809754</v>
      </c>
      <c r="N26">
        <v>0</v>
      </c>
      <c r="O26">
        <v>1432.4599208985717</v>
      </c>
      <c r="P26">
        <v>3.1152623219924572E-2</v>
      </c>
      <c r="R26">
        <v>0.37758652893793088</v>
      </c>
      <c r="S26">
        <v>830807</v>
      </c>
      <c r="T26">
        <v>5.5170452114470248</v>
      </c>
      <c r="U26">
        <v>3001.4218136370137</v>
      </c>
      <c r="V26">
        <v>5.5271749509916833E-2</v>
      </c>
      <c r="X26">
        <v>6.3013698630136991E-2</v>
      </c>
      <c r="Y26">
        <v>809754</v>
      </c>
      <c r="Z26">
        <v>0</v>
      </c>
      <c r="AA26">
        <v>1428.5644520547944</v>
      </c>
      <c r="AB26">
        <v>3.0372370618790143E-2</v>
      </c>
      <c r="AD26">
        <v>0.37784306766037468</v>
      </c>
      <c r="AE26">
        <v>830807</v>
      </c>
      <c r="AF26">
        <v>0</v>
      </c>
      <c r="AG26">
        <v>3000</v>
      </c>
      <c r="AH26">
        <v>5.186542650669064E-2</v>
      </c>
      <c r="AJ26">
        <v>6.3013698630136991E-2</v>
      </c>
      <c r="AK26">
        <v>809754</v>
      </c>
      <c r="AL26">
        <v>0</v>
      </c>
      <c r="AM26">
        <v>1433.7223680022214</v>
      </c>
      <c r="AN26">
        <v>3.1047063990173485E-2</v>
      </c>
      <c r="AP26">
        <v>0.37759039313169773</v>
      </c>
      <c r="AQ26">
        <v>830807</v>
      </c>
      <c r="AR26">
        <v>7.9457154369950711</v>
      </c>
      <c r="AS26">
        <v>3002.0464857230545</v>
      </c>
      <c r="AT26">
        <v>5.4361264771169322E-2</v>
      </c>
      <c r="AV26">
        <v>6.3013698630136991E-2</v>
      </c>
      <c r="AW26">
        <v>809754</v>
      </c>
      <c r="AX26">
        <v>0</v>
      </c>
      <c r="AY26">
        <v>1428.5644520547944</v>
      </c>
      <c r="AZ26">
        <v>3.0447461626522183E-2</v>
      </c>
      <c r="BB26">
        <v>0.37784306766037468</v>
      </c>
      <c r="BC26">
        <v>830807</v>
      </c>
      <c r="BD26">
        <v>0</v>
      </c>
      <c r="BE26">
        <v>3000</v>
      </c>
      <c r="BF26">
        <v>5.2432885906040269E-2</v>
      </c>
      <c r="BH26">
        <v>6.3013698630136991E-2</v>
      </c>
      <c r="BI26">
        <v>809754</v>
      </c>
      <c r="BJ26">
        <v>0</v>
      </c>
      <c r="BK26">
        <v>1428.5608178124676</v>
      </c>
      <c r="BL26">
        <v>3.0561372963641698E-2</v>
      </c>
      <c r="BN26">
        <v>0.37783477827008166</v>
      </c>
      <c r="BO26">
        <v>830807</v>
      </c>
      <c r="BP26">
        <v>0</v>
      </c>
      <c r="BQ26">
        <v>2999.9999999999977</v>
      </c>
      <c r="BR26">
        <v>5.3404539385847757E-2</v>
      </c>
      <c r="BT26">
        <v>6.3013698630136991E-2</v>
      </c>
      <c r="BU26">
        <v>809754</v>
      </c>
      <c r="BV26">
        <v>0</v>
      </c>
      <c r="BW26">
        <v>1432.6755938583321</v>
      </c>
      <c r="BX26">
        <v>3.0857343338394801E-2</v>
      </c>
      <c r="BZ26">
        <v>0.37765796752161862</v>
      </c>
      <c r="CA26">
        <v>830807</v>
      </c>
      <c r="CB26">
        <v>6.4050208157144795</v>
      </c>
      <c r="CC26">
        <v>3001.6502944694334</v>
      </c>
      <c r="CD26">
        <v>5.3542574953522652E-2</v>
      </c>
      <c r="CF26">
        <v>6.3013698630136991E-2</v>
      </c>
      <c r="CG26">
        <v>809754</v>
      </c>
      <c r="CH26">
        <v>3</v>
      </c>
      <c r="CI26">
        <v>0</v>
      </c>
      <c r="CJ26">
        <v>0</v>
      </c>
      <c r="CK26">
        <v>0</v>
      </c>
      <c r="CL26">
        <v>1448.8042031598193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830807</v>
      </c>
      <c r="DC26">
        <v>1</v>
      </c>
      <c r="DD26">
        <v>0</v>
      </c>
      <c r="DE26">
        <v>3123.5819947115483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</row>
    <row r="27" spans="1:126">
      <c r="A27">
        <v>818413</v>
      </c>
      <c r="B27">
        <v>9.212434083426535E-2</v>
      </c>
      <c r="C27">
        <v>512.29920526444585</v>
      </c>
      <c r="D27">
        <v>1.0975409843487067E-2</v>
      </c>
      <c r="F27">
        <v>1.4890460665667259E-2</v>
      </c>
      <c r="G27">
        <v>830828</v>
      </c>
      <c r="H27">
        <v>400.10612031123287</v>
      </c>
      <c r="I27">
        <v>400.10496652689665</v>
      </c>
      <c r="J27">
        <v>7.1001023304744582E-3</v>
      </c>
      <c r="L27">
        <v>2.7397260273972603E-3</v>
      </c>
      <c r="M27">
        <v>818413</v>
      </c>
      <c r="N27">
        <v>0.95842571069718829</v>
      </c>
      <c r="O27">
        <v>513.01851310813709</v>
      </c>
      <c r="P27">
        <v>1.1156942131880673E-2</v>
      </c>
      <c r="R27">
        <v>1.3895242237271063E-2</v>
      </c>
      <c r="S27">
        <v>830828</v>
      </c>
      <c r="T27">
        <v>402.1225586673973</v>
      </c>
      <c r="U27">
        <v>402.09936628981376</v>
      </c>
      <c r="V27">
        <v>7.4047357657921987E-3</v>
      </c>
      <c r="X27">
        <v>2.7397260273972603E-3</v>
      </c>
      <c r="Y27">
        <v>818413</v>
      </c>
      <c r="Z27">
        <v>4.3315068493083864E-2</v>
      </c>
      <c r="AA27">
        <v>512.29569863013637</v>
      </c>
      <c r="AB27">
        <v>1.0891797568409405E-2</v>
      </c>
      <c r="AD27">
        <v>1.5371542599064876E-2</v>
      </c>
      <c r="AE27">
        <v>830828</v>
      </c>
      <c r="AF27">
        <v>400</v>
      </c>
      <c r="AG27">
        <v>400</v>
      </c>
      <c r="AH27">
        <v>6.9153902008920855E-3</v>
      </c>
      <c r="AJ27">
        <v>2.7397260273972603E-3</v>
      </c>
      <c r="AK27">
        <v>818413</v>
      </c>
      <c r="AL27">
        <v>1.3897990635499813</v>
      </c>
      <c r="AM27">
        <v>513.44297936846476</v>
      </c>
      <c r="AN27">
        <v>1.1118538282952527E-2</v>
      </c>
      <c r="AP27">
        <v>1.4108623757428987E-2</v>
      </c>
      <c r="AQ27">
        <v>830828</v>
      </c>
      <c r="AR27">
        <v>403.12870687155538</v>
      </c>
      <c r="AS27">
        <v>403.0944361016609</v>
      </c>
      <c r="AT27">
        <v>7.2992618445179795E-3</v>
      </c>
      <c r="AV27">
        <v>2.7397260273972603E-3</v>
      </c>
      <c r="AW27">
        <v>818413</v>
      </c>
      <c r="AX27">
        <v>4.3315068493083864E-2</v>
      </c>
      <c r="AY27">
        <v>512.28807229292238</v>
      </c>
      <c r="AZ27">
        <v>1.0918563317481669E-2</v>
      </c>
      <c r="BB27">
        <v>1.5283443525781246E-2</v>
      </c>
      <c r="BC27">
        <v>830828</v>
      </c>
      <c r="BD27">
        <v>400</v>
      </c>
      <c r="BE27">
        <v>400</v>
      </c>
      <c r="BF27">
        <v>6.9910514541387022E-3</v>
      </c>
      <c r="BH27">
        <v>2.7397260273972603E-3</v>
      </c>
      <c r="BI27">
        <v>818413</v>
      </c>
      <c r="BJ27">
        <v>4.3315068493083864E-2</v>
      </c>
      <c r="BK27">
        <v>512.26215661373658</v>
      </c>
      <c r="BL27">
        <v>1.0958885773869087E-2</v>
      </c>
      <c r="BN27">
        <v>1.4988077129398711E-2</v>
      </c>
      <c r="BO27">
        <v>830828</v>
      </c>
      <c r="BP27">
        <v>400</v>
      </c>
      <c r="BQ27">
        <v>400</v>
      </c>
      <c r="BR27">
        <v>7.1206052514463727E-3</v>
      </c>
      <c r="BT27">
        <v>2.7397260273972603E-3</v>
      </c>
      <c r="BU27">
        <v>818413</v>
      </c>
      <c r="BV27">
        <v>1.1297309193831073</v>
      </c>
      <c r="BW27">
        <v>513.23383453964004</v>
      </c>
      <c r="BX27">
        <v>1.1054165167021474E-2</v>
      </c>
      <c r="BZ27">
        <v>1.4477335807551445E-2</v>
      </c>
      <c r="CA27">
        <v>830828</v>
      </c>
      <c r="CB27">
        <v>402.52356826731369</v>
      </c>
      <c r="CC27">
        <v>402.49596701595271</v>
      </c>
      <c r="CD27">
        <v>7.1796073387194789E-3</v>
      </c>
      <c r="CF27">
        <v>2.7397260273972603E-3</v>
      </c>
      <c r="CG27">
        <v>818413</v>
      </c>
      <c r="CH27">
        <v>3</v>
      </c>
      <c r="CI27">
        <v>0</v>
      </c>
      <c r="CJ27">
        <v>541.78259187328194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830828</v>
      </c>
      <c r="DC27">
        <v>1</v>
      </c>
      <c r="DD27">
        <v>400.10612031123287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</row>
    <row r="28" spans="1:126">
      <c r="A28">
        <v>818415</v>
      </c>
      <c r="B28">
        <v>0</v>
      </c>
      <c r="C28">
        <v>45.206211795932688</v>
      </c>
      <c r="D28">
        <v>9.6849008710784092E-4</v>
      </c>
      <c r="F28">
        <v>0.17615842820720121</v>
      </c>
      <c r="G28">
        <v>830892</v>
      </c>
      <c r="H28">
        <v>0</v>
      </c>
      <c r="I28">
        <v>50.291911522187355</v>
      </c>
      <c r="J28">
        <v>8.9246009941417088E-4</v>
      </c>
      <c r="L28">
        <v>0.42489340414937188</v>
      </c>
      <c r="M28">
        <v>818415</v>
      </c>
      <c r="N28">
        <v>0</v>
      </c>
      <c r="O28">
        <v>45.269123426065292</v>
      </c>
      <c r="P28">
        <v>9.844966166340154E-4</v>
      </c>
      <c r="R28">
        <v>0.17514361142018006</v>
      </c>
      <c r="S28">
        <v>830892</v>
      </c>
      <c r="T28">
        <v>0</v>
      </c>
      <c r="U28">
        <v>50.859303744933591</v>
      </c>
      <c r="V28">
        <v>9.3658368312862252E-4</v>
      </c>
      <c r="X28">
        <v>0.42422006548065283</v>
      </c>
      <c r="Y28">
        <v>818415</v>
      </c>
      <c r="Z28">
        <v>0</v>
      </c>
      <c r="AA28">
        <v>45.202561643835637</v>
      </c>
      <c r="AB28">
        <v>9.6104096191847849E-4</v>
      </c>
      <c r="AD28">
        <v>0.17666446702267141</v>
      </c>
      <c r="AE28">
        <v>830892</v>
      </c>
      <c r="AF28">
        <v>0</v>
      </c>
      <c r="AG28">
        <v>50.200136986301366</v>
      </c>
      <c r="AH28">
        <v>8.6788383849627205E-4</v>
      </c>
      <c r="AJ28">
        <v>0.42516508500121886</v>
      </c>
      <c r="AK28">
        <v>818415</v>
      </c>
      <c r="AL28">
        <v>0</v>
      </c>
      <c r="AM28">
        <v>45.302198766325979</v>
      </c>
      <c r="AN28">
        <v>9.8101298785867991E-4</v>
      </c>
      <c r="AP28">
        <v>0.17537310974789588</v>
      </c>
      <c r="AQ28">
        <v>830892</v>
      </c>
      <c r="AR28">
        <v>0</v>
      </c>
      <c r="AS28">
        <v>51.060014856479327</v>
      </c>
      <c r="AT28">
        <v>9.2459826989133942E-4</v>
      </c>
      <c r="AV28">
        <v>0.42431718628923881</v>
      </c>
      <c r="AW28">
        <v>818415</v>
      </c>
      <c r="AX28">
        <v>0</v>
      </c>
      <c r="AY28">
        <v>45.201801536711713</v>
      </c>
      <c r="AZ28">
        <v>9.6340078724422326E-4</v>
      </c>
      <c r="BB28">
        <v>0.17656551532706702</v>
      </c>
      <c r="BC28">
        <v>830892</v>
      </c>
      <c r="BD28">
        <v>0</v>
      </c>
      <c r="BE28">
        <v>50.199880902014932</v>
      </c>
      <c r="BF28">
        <v>8.7737487594405296E-4</v>
      </c>
      <c r="BH28">
        <v>0.42513977118205554</v>
      </c>
      <c r="BI28">
        <v>818415</v>
      </c>
      <c r="BJ28">
        <v>0</v>
      </c>
      <c r="BK28">
        <v>45.199348681068273</v>
      </c>
      <c r="BL28">
        <v>9.6695508901823281E-4</v>
      </c>
      <c r="BN28">
        <v>0.17625088430106367</v>
      </c>
      <c r="BO28">
        <v>830892</v>
      </c>
      <c r="BP28">
        <v>0</v>
      </c>
      <c r="BQ28">
        <v>50.198408628214807</v>
      </c>
      <c r="BR28">
        <v>8.9360763023079316E-4</v>
      </c>
      <c r="BT28">
        <v>0.42499549035127493</v>
      </c>
      <c r="BU28">
        <v>818415</v>
      </c>
      <c r="BV28">
        <v>0</v>
      </c>
      <c r="BW28">
        <v>45.283630117058166</v>
      </c>
      <c r="BX28">
        <v>9.7533072254535238E-4</v>
      </c>
      <c r="BZ28">
        <v>0.17575103885696877</v>
      </c>
      <c r="CA28">
        <v>830892</v>
      </c>
      <c r="CB28">
        <v>0</v>
      </c>
      <c r="CC28">
        <v>50.883790032600849</v>
      </c>
      <c r="CD28">
        <v>9.0765041709211125E-4</v>
      </c>
      <c r="CF28">
        <v>0.42455753861654183</v>
      </c>
      <c r="CG28">
        <v>818415</v>
      </c>
      <c r="CH28">
        <v>3</v>
      </c>
      <c r="CI28">
        <v>0</v>
      </c>
      <c r="CJ28">
        <v>0</v>
      </c>
      <c r="CK28">
        <v>47.812010024197747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830892</v>
      </c>
      <c r="DC28">
        <v>1</v>
      </c>
      <c r="DD28">
        <v>0</v>
      </c>
      <c r="DE28">
        <v>0</v>
      </c>
      <c r="DF28">
        <v>0</v>
      </c>
      <c r="DG28">
        <v>0.21294770449999945</v>
      </c>
      <c r="DH28">
        <v>0</v>
      </c>
      <c r="DI28">
        <v>51.683273311157798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</row>
    <row r="29" spans="1:126">
      <c r="A29">
        <v>825399</v>
      </c>
      <c r="B29">
        <v>0</v>
      </c>
      <c r="C29">
        <v>1078.5979238422376</v>
      </c>
      <c r="D29">
        <v>2.3107695949659095E-2</v>
      </c>
      <c r="F29">
        <v>1.5888239074830988</v>
      </c>
      <c r="G29">
        <v>830893</v>
      </c>
      <c r="H29">
        <v>0.10838157745207688</v>
      </c>
      <c r="I29">
        <v>602.13148214761179</v>
      </c>
      <c r="J29">
        <v>1.0685183882517244E-2</v>
      </c>
      <c r="L29">
        <v>1.1261918000237459E-2</v>
      </c>
      <c r="M29">
        <v>825399</v>
      </c>
      <c r="N29">
        <v>0</v>
      </c>
      <c r="O29">
        <v>1045.4044411838161</v>
      </c>
      <c r="P29">
        <v>2.2735079839585403E-2</v>
      </c>
      <c r="R29">
        <v>1.537604156542608</v>
      </c>
      <c r="S29">
        <v>830893</v>
      </c>
      <c r="T29">
        <v>1.1275596596437509</v>
      </c>
      <c r="U29">
        <v>603.01806599064798</v>
      </c>
      <c r="V29">
        <v>1.1104691563829769E-2</v>
      </c>
      <c r="X29">
        <v>1.0768012862041564E-2</v>
      </c>
      <c r="Y29">
        <v>825399</v>
      </c>
      <c r="Z29">
        <v>0</v>
      </c>
      <c r="AA29">
        <v>1087.5342465753429</v>
      </c>
      <c r="AB29">
        <v>2.3121808155104558E-2</v>
      </c>
      <c r="AD29">
        <v>1.6026244635896649</v>
      </c>
      <c r="AE29">
        <v>830893</v>
      </c>
      <c r="AF29">
        <v>5.0958904109510428E-2</v>
      </c>
      <c r="AG29">
        <v>602.10082191780714</v>
      </c>
      <c r="AH29">
        <v>1.0409405309598685E-2</v>
      </c>
      <c r="AJ29">
        <v>1.1437072449442873E-2</v>
      </c>
      <c r="AK29">
        <v>825399</v>
      </c>
      <c r="AL29">
        <v>0</v>
      </c>
      <c r="AM29">
        <v>1045.3028299929017</v>
      </c>
      <c r="AN29">
        <v>2.2635891422354355E-2</v>
      </c>
      <c r="AP29">
        <v>1.5374474663141342</v>
      </c>
      <c r="AQ29">
        <v>830893</v>
      </c>
      <c r="AR29">
        <v>1.6350577218235074</v>
      </c>
      <c r="AS29">
        <v>603.50089256396291</v>
      </c>
      <c r="AT29">
        <v>1.092823577727008E-2</v>
      </c>
      <c r="AV29">
        <v>1.0821893569280898E-2</v>
      </c>
      <c r="AW29">
        <v>825399</v>
      </c>
      <c r="AX29">
        <v>0</v>
      </c>
      <c r="AY29">
        <v>1087.5342465753429</v>
      </c>
      <c r="AZ29">
        <v>2.3178973264036805E-2</v>
      </c>
      <c r="BB29">
        <v>1.6026244635896649</v>
      </c>
      <c r="BC29">
        <v>830893</v>
      </c>
      <c r="BD29">
        <v>5.0958904109510428E-2</v>
      </c>
      <c r="BE29">
        <v>602.10006873650673</v>
      </c>
      <c r="BF29">
        <v>1.0523281402693421E-2</v>
      </c>
      <c r="BH29">
        <v>1.143131136082534E-2</v>
      </c>
      <c r="BI29">
        <v>825399</v>
      </c>
      <c r="BJ29">
        <v>0</v>
      </c>
      <c r="BK29">
        <v>1087.5342465753429</v>
      </c>
      <c r="BL29">
        <v>2.3265750611315739E-2</v>
      </c>
      <c r="BN29">
        <v>1.6026244635896649</v>
      </c>
      <c r="BO29">
        <v>830893</v>
      </c>
      <c r="BP29">
        <v>5.0958904109510428E-2</v>
      </c>
      <c r="BQ29">
        <v>602.08987329374975</v>
      </c>
      <c r="BR29">
        <v>1.0718110784045389E-2</v>
      </c>
      <c r="BT29">
        <v>1.1353701721181286E-2</v>
      </c>
      <c r="BU29">
        <v>825399</v>
      </c>
      <c r="BV29">
        <v>0</v>
      </c>
      <c r="BW29">
        <v>1056.6698572323837</v>
      </c>
      <c r="BX29">
        <v>2.2758832997315983E-2</v>
      </c>
      <c r="BZ29">
        <v>1.5549799874865846</v>
      </c>
      <c r="CA29">
        <v>830893</v>
      </c>
      <c r="CB29">
        <v>1.3290951992742439</v>
      </c>
      <c r="CC29">
        <v>603.23871288755015</v>
      </c>
      <c r="CD29">
        <v>1.0760398724381479E-2</v>
      </c>
      <c r="CF29">
        <v>1.099635131707449E-2</v>
      </c>
      <c r="CG29">
        <v>825399</v>
      </c>
      <c r="CH29">
        <v>2</v>
      </c>
      <c r="CI29">
        <v>0</v>
      </c>
      <c r="CJ29">
        <v>0</v>
      </c>
      <c r="CK29">
        <v>12.328767123287676</v>
      </c>
      <c r="CL29">
        <v>12.602739726027545</v>
      </c>
      <c r="CM29">
        <v>12.602739726027545</v>
      </c>
      <c r="CN29">
        <v>12.4657534246575</v>
      </c>
      <c r="CO29">
        <v>24.93150684931522</v>
      </c>
      <c r="CP29">
        <v>1012.6027397260275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830893</v>
      </c>
      <c r="DC29">
        <v>1</v>
      </c>
      <c r="DD29">
        <v>0</v>
      </c>
      <c r="DE29">
        <v>621.2646719455106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</row>
    <row r="30" spans="1:126">
      <c r="A30">
        <v>825404</v>
      </c>
      <c r="B30">
        <v>0</v>
      </c>
      <c r="C30">
        <v>600.0553469277254</v>
      </c>
      <c r="D30">
        <v>1.2855482291658105E-2</v>
      </c>
      <c r="F30">
        <v>1.5810327016993655</v>
      </c>
      <c r="G30">
        <v>830894</v>
      </c>
      <c r="H30">
        <v>0</v>
      </c>
      <c r="I30">
        <v>90.326591637122149</v>
      </c>
      <c r="J30">
        <v>1.6028994824872614E-3</v>
      </c>
      <c r="L30">
        <v>0.17262132782653697</v>
      </c>
      <c r="M30">
        <v>825404</v>
      </c>
      <c r="N30">
        <v>0</v>
      </c>
      <c r="O30">
        <v>581.67969972329718</v>
      </c>
      <c r="P30">
        <v>1.2650160926521187E-2</v>
      </c>
      <c r="R30">
        <v>1.5297884983040626</v>
      </c>
      <c r="S30">
        <v>830894</v>
      </c>
      <c r="T30">
        <v>0</v>
      </c>
      <c r="U30">
        <v>90.458558396453043</v>
      </c>
      <c r="V30">
        <v>1.6658114357669565E-3</v>
      </c>
      <c r="X30">
        <v>0.17211357189933785</v>
      </c>
      <c r="Y30">
        <v>825404</v>
      </c>
      <c r="Z30">
        <v>0</v>
      </c>
      <c r="AA30">
        <v>605</v>
      </c>
      <c r="AB30">
        <v>1.2862761773147656E-2</v>
      </c>
      <c r="AD30">
        <v>1.5948334157866904</v>
      </c>
      <c r="AE30">
        <v>830894</v>
      </c>
      <c r="AF30">
        <v>0</v>
      </c>
      <c r="AG30">
        <v>90.315123287671298</v>
      </c>
      <c r="AH30">
        <v>1.5614107964398067E-3</v>
      </c>
      <c r="AJ30">
        <v>0.17280770445391416</v>
      </c>
      <c r="AK30">
        <v>825404</v>
      </c>
      <c r="AL30">
        <v>0</v>
      </c>
      <c r="AM30">
        <v>581.62600890584713</v>
      </c>
      <c r="AN30">
        <v>1.259503256687774E-2</v>
      </c>
      <c r="AP30">
        <v>1.5296388715984519</v>
      </c>
      <c r="AQ30">
        <v>830894</v>
      </c>
      <c r="AR30">
        <v>0</v>
      </c>
      <c r="AS30">
        <v>90.522121790035783</v>
      </c>
      <c r="AT30">
        <v>1.6391808233745433E-3</v>
      </c>
      <c r="AV30">
        <v>0.17217632581954465</v>
      </c>
      <c r="AW30">
        <v>825404</v>
      </c>
      <c r="AX30">
        <v>0</v>
      </c>
      <c r="AY30">
        <v>605</v>
      </c>
      <c r="AZ30">
        <v>1.2894562970225282E-2</v>
      </c>
      <c r="BB30">
        <v>1.5948334157866904</v>
      </c>
      <c r="BC30">
        <v>830894</v>
      </c>
      <c r="BD30">
        <v>0</v>
      </c>
      <c r="BE30">
        <v>90.314964577613765</v>
      </c>
      <c r="BF30">
        <v>1.5784914111020302E-3</v>
      </c>
      <c r="BH30">
        <v>0.17279965871362662</v>
      </c>
      <c r="BI30">
        <v>825404</v>
      </c>
      <c r="BJ30">
        <v>0</v>
      </c>
      <c r="BK30">
        <v>605</v>
      </c>
      <c r="BL30">
        <v>1.2942837583433169E-2</v>
      </c>
      <c r="BN30">
        <v>1.5948334157866904</v>
      </c>
      <c r="BO30">
        <v>830894</v>
      </c>
      <c r="BP30">
        <v>0</v>
      </c>
      <c r="BQ30">
        <v>90.313249436960916</v>
      </c>
      <c r="BR30">
        <v>1.6077124955400251E-3</v>
      </c>
      <c r="BT30">
        <v>0.1727131918215874</v>
      </c>
      <c r="BU30">
        <v>825404</v>
      </c>
      <c r="BV30">
        <v>0</v>
      </c>
      <c r="BW30">
        <v>587.91901158848952</v>
      </c>
      <c r="BX30">
        <v>1.2662754131867788E-2</v>
      </c>
      <c r="BZ30">
        <v>1.5471803908689643</v>
      </c>
      <c r="CA30">
        <v>830894</v>
      </c>
      <c r="CB30">
        <v>0</v>
      </c>
      <c r="CC30">
        <v>90.482516191782764</v>
      </c>
      <c r="CD30">
        <v>1.6140011093591403E-3</v>
      </c>
      <c r="CF30">
        <v>0.17235662898861878</v>
      </c>
      <c r="CG30">
        <v>825404</v>
      </c>
      <c r="CH30">
        <v>2</v>
      </c>
      <c r="CI30">
        <v>0</v>
      </c>
      <c r="CJ30">
        <v>0</v>
      </c>
      <c r="CK30">
        <v>13.636986301369847</v>
      </c>
      <c r="CL30">
        <v>0</v>
      </c>
      <c r="CM30">
        <v>13.863013698630178</v>
      </c>
      <c r="CN30">
        <v>0</v>
      </c>
      <c r="CO30">
        <v>13.636986301369847</v>
      </c>
      <c r="CP30">
        <v>563.8630136986302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830894</v>
      </c>
      <c r="DC30">
        <v>2</v>
      </c>
      <c r="DD30">
        <v>0</v>
      </c>
      <c r="DE30">
        <v>0</v>
      </c>
      <c r="DF30">
        <v>93.199976246274034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</row>
    <row r="31" spans="1:126">
      <c r="A31">
        <v>826686</v>
      </c>
      <c r="B31">
        <v>7.7203489083224105E-3</v>
      </c>
      <c r="C31">
        <v>15.891479702718106</v>
      </c>
      <c r="D31">
        <v>3.4045632115856003E-4</v>
      </c>
      <c r="F31">
        <v>1.1173645036119919E-2</v>
      </c>
      <c r="G31">
        <v>832708</v>
      </c>
      <c r="H31">
        <v>0</v>
      </c>
      <c r="I31">
        <v>65.437897450570318</v>
      </c>
      <c r="J31">
        <v>1.1612346935436244E-3</v>
      </c>
      <c r="L31">
        <v>1.7081830361599093</v>
      </c>
      <c r="M31">
        <v>826686</v>
      </c>
      <c r="N31">
        <v>4.1332318029452857E-2</v>
      </c>
      <c r="O31">
        <v>15.920773688378798</v>
      </c>
      <c r="P31">
        <v>3.4623926076244612E-4</v>
      </c>
      <c r="R31">
        <v>1.0582058687487324E-2</v>
      </c>
      <c r="S31">
        <v>832708</v>
      </c>
      <c r="T31">
        <v>0</v>
      </c>
      <c r="U31">
        <v>63.277960262577764</v>
      </c>
      <c r="V31">
        <v>1.1652755881365259E-3</v>
      </c>
      <c r="X31">
        <v>1.6489957842092795</v>
      </c>
      <c r="Y31">
        <v>826686</v>
      </c>
      <c r="Z31">
        <v>1.3445506849294325E-3</v>
      </c>
      <c r="AA31">
        <v>15.886430186301364</v>
      </c>
      <c r="AB31">
        <v>3.3775763125972922E-4</v>
      </c>
      <c r="AD31">
        <v>1.1437072449443185E-2</v>
      </c>
      <c r="AE31">
        <v>832708</v>
      </c>
      <c r="AF31">
        <v>0</v>
      </c>
      <c r="AG31">
        <v>66</v>
      </c>
      <c r="AH31">
        <v>1.141039383147194E-3</v>
      </c>
      <c r="AJ31">
        <v>1.7236005456019035</v>
      </c>
      <c r="AK31">
        <v>826686</v>
      </c>
      <c r="AL31">
        <v>4.8000901202772457E-2</v>
      </c>
      <c r="AM31">
        <v>15.92763144684953</v>
      </c>
      <c r="AN31">
        <v>3.4491070501417375E-4</v>
      </c>
      <c r="AP31">
        <v>1.074409359588277E-2</v>
      </c>
      <c r="AQ31">
        <v>832708</v>
      </c>
      <c r="AR31">
        <v>0</v>
      </c>
      <c r="AS31">
        <v>63.339353017053085</v>
      </c>
      <c r="AT31">
        <v>1.1469533720312379E-3</v>
      </c>
      <c r="AV31">
        <v>1.6506768340560911</v>
      </c>
      <c r="AW31">
        <v>826686</v>
      </c>
      <c r="AX31">
        <v>1.3445506849294325E-3</v>
      </c>
      <c r="AY31">
        <v>15.886404949112702</v>
      </c>
      <c r="AZ31">
        <v>3.385921470856732E-4</v>
      </c>
      <c r="BB31">
        <v>1.1429756848461332E-2</v>
      </c>
      <c r="BC31">
        <v>832708</v>
      </c>
      <c r="BD31">
        <v>0</v>
      </c>
      <c r="BE31">
        <v>66</v>
      </c>
      <c r="BF31">
        <v>1.153523489932886E-3</v>
      </c>
      <c r="BH31">
        <v>1.7236005456019035</v>
      </c>
      <c r="BI31">
        <v>826686</v>
      </c>
      <c r="BJ31">
        <v>1.3445506849294325E-3</v>
      </c>
      <c r="BK31">
        <v>15.885932419384497</v>
      </c>
      <c r="BL31">
        <v>3.398496581247753E-4</v>
      </c>
      <c r="BN31">
        <v>1.1293917262264547E-2</v>
      </c>
      <c r="BO31">
        <v>832708</v>
      </c>
      <c r="BP31">
        <v>0</v>
      </c>
      <c r="BQ31">
        <v>66</v>
      </c>
      <c r="BR31">
        <v>1.1748998664886515E-3</v>
      </c>
      <c r="BT31">
        <v>1.7236005456019035</v>
      </c>
      <c r="BU31">
        <v>826686</v>
      </c>
      <c r="BV31">
        <v>3.9928239907084627E-2</v>
      </c>
      <c r="BW31">
        <v>15.920704545442666</v>
      </c>
      <c r="BX31">
        <v>3.4290431724660593E-4</v>
      </c>
      <c r="BZ31">
        <v>1.0914150220141902E-2</v>
      </c>
      <c r="CA31">
        <v>832708</v>
      </c>
      <c r="CB31">
        <v>0</v>
      </c>
      <c r="CC31">
        <v>64.08649435058436</v>
      </c>
      <c r="CD31">
        <v>1.1431564608298881E-3</v>
      </c>
      <c r="CF31">
        <v>1.6711409096111491</v>
      </c>
      <c r="CG31">
        <v>826686</v>
      </c>
      <c r="CH31">
        <v>2</v>
      </c>
      <c r="CI31">
        <v>0</v>
      </c>
      <c r="CJ31">
        <v>16.392564760465437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832708</v>
      </c>
      <c r="DC31">
        <v>3</v>
      </c>
      <c r="DD31">
        <v>0</v>
      </c>
      <c r="DE31">
        <v>0</v>
      </c>
      <c r="DF31">
        <v>0</v>
      </c>
      <c r="DG31">
        <v>1.4876712328767105</v>
      </c>
      <c r="DH31">
        <v>0</v>
      </c>
      <c r="DI31">
        <v>1.5123287671232921</v>
      </c>
      <c r="DJ31">
        <v>1.4876712328767105</v>
      </c>
      <c r="DK31">
        <v>61.512328767123293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</row>
    <row r="32" spans="1:126">
      <c r="A32">
        <v>826691</v>
      </c>
      <c r="B32">
        <v>0</v>
      </c>
      <c r="C32">
        <v>127.25349955842427</v>
      </c>
      <c r="D32">
        <v>2.726257033623075E-3</v>
      </c>
      <c r="F32">
        <v>0.17598771649272726</v>
      </c>
      <c r="G32">
        <v>832712</v>
      </c>
      <c r="H32">
        <v>0</v>
      </c>
      <c r="I32">
        <v>423.39265203183379</v>
      </c>
      <c r="J32">
        <v>7.5133562612122694E-3</v>
      </c>
      <c r="L32">
        <v>2.6068946961829784</v>
      </c>
      <c r="M32">
        <v>826691</v>
      </c>
      <c r="N32">
        <v>0</v>
      </c>
      <c r="O32">
        <v>127.47524508953865</v>
      </c>
      <c r="P32">
        <v>2.7722857876895011E-3</v>
      </c>
      <c r="R32">
        <v>0.1747830014760878</v>
      </c>
      <c r="S32">
        <v>832712</v>
      </c>
      <c r="T32">
        <v>0</v>
      </c>
      <c r="U32">
        <v>402.44484571719522</v>
      </c>
      <c r="V32">
        <v>7.4110978346904445E-3</v>
      </c>
      <c r="X32">
        <v>2.4708194203070608</v>
      </c>
      <c r="Y32">
        <v>826691</v>
      </c>
      <c r="Z32">
        <v>0</v>
      </c>
      <c r="AA32">
        <v>127.21808949041105</v>
      </c>
      <c r="AB32">
        <v>2.7047536832233666E-3</v>
      </c>
      <c r="AD32">
        <v>0.17666446702267141</v>
      </c>
      <c r="AE32">
        <v>832712</v>
      </c>
      <c r="AF32">
        <v>0</v>
      </c>
      <c r="AG32">
        <v>431.30136986301375</v>
      </c>
      <c r="AH32">
        <v>7.4565431669550456E-3</v>
      </c>
      <c r="AJ32">
        <v>2.6583836399590548</v>
      </c>
      <c r="AK32">
        <v>826691</v>
      </c>
      <c r="AL32">
        <v>0</v>
      </c>
      <c r="AM32">
        <v>127.52364928094637</v>
      </c>
      <c r="AN32">
        <v>2.7615073795653083E-3</v>
      </c>
      <c r="AP32">
        <v>0.17522427728376147</v>
      </c>
      <c r="AQ32">
        <v>832712</v>
      </c>
      <c r="AR32">
        <v>0</v>
      </c>
      <c r="AS32">
        <v>407.18977378694166</v>
      </c>
      <c r="AT32">
        <v>7.3734205017192099E-3</v>
      </c>
      <c r="AV32">
        <v>2.5016025875690335</v>
      </c>
      <c r="AW32">
        <v>826691</v>
      </c>
      <c r="AX32">
        <v>0</v>
      </c>
      <c r="AY32">
        <v>127.21538136782161</v>
      </c>
      <c r="AZ32">
        <v>2.7113830509563632E-3</v>
      </c>
      <c r="BB32">
        <v>0.17653931779336654</v>
      </c>
      <c r="BC32">
        <v>832712</v>
      </c>
      <c r="BD32">
        <v>0</v>
      </c>
      <c r="BE32">
        <v>431.30136986301375</v>
      </c>
      <c r="BF32">
        <v>7.5381251723820918E-3</v>
      </c>
      <c r="BH32">
        <v>2.6583836399590548</v>
      </c>
      <c r="BI32">
        <v>826691</v>
      </c>
      <c r="BJ32">
        <v>0</v>
      </c>
      <c r="BK32">
        <v>127.20603179921216</v>
      </c>
      <c r="BL32">
        <v>2.7213338995210543E-3</v>
      </c>
      <c r="BN32">
        <v>0.1761156905566843</v>
      </c>
      <c r="BO32">
        <v>832712</v>
      </c>
      <c r="BP32">
        <v>0</v>
      </c>
      <c r="BQ32">
        <v>426.43423692222723</v>
      </c>
      <c r="BR32">
        <v>7.5911746670623446E-3</v>
      </c>
      <c r="BT32">
        <v>2.6266893833821254</v>
      </c>
      <c r="BU32">
        <v>826691</v>
      </c>
      <c r="BV32">
        <v>0</v>
      </c>
      <c r="BW32">
        <v>127.47129695572276</v>
      </c>
      <c r="BX32">
        <v>2.745510283566796E-3</v>
      </c>
      <c r="BZ32">
        <v>0.17559117074643965</v>
      </c>
      <c r="CA32">
        <v>832712</v>
      </c>
      <c r="CB32">
        <v>0</v>
      </c>
      <c r="CC32">
        <v>414.95437777983437</v>
      </c>
      <c r="CD32">
        <v>7.4018368880297246E-3</v>
      </c>
      <c r="CF32">
        <v>2.5520265106007978</v>
      </c>
      <c r="CG32">
        <v>826691</v>
      </c>
      <c r="CH32">
        <v>2</v>
      </c>
      <c r="CI32">
        <v>0</v>
      </c>
      <c r="CJ32">
        <v>0</v>
      </c>
      <c r="CK32">
        <v>134.52371275308536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832712</v>
      </c>
      <c r="DC32">
        <v>3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18.750000000000014</v>
      </c>
      <c r="DJ32">
        <v>0</v>
      </c>
      <c r="DK32">
        <v>18.750000000000014</v>
      </c>
      <c r="DL32">
        <v>393.80136986301375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</row>
    <row r="33" spans="1:126">
      <c r="A33">
        <v>827924</v>
      </c>
      <c r="B33">
        <v>0</v>
      </c>
      <c r="C33">
        <v>74.177934552124057</v>
      </c>
      <c r="D33">
        <v>1.5891752801620511E-3</v>
      </c>
      <c r="F33">
        <v>0.16933543271698587</v>
      </c>
      <c r="G33">
        <v>832714</v>
      </c>
      <c r="H33">
        <v>0.38219178082192773</v>
      </c>
      <c r="I33">
        <v>100.90837059229048</v>
      </c>
      <c r="J33">
        <v>1.7906794894997601E-3</v>
      </c>
      <c r="L33">
        <v>2.5670347432919778</v>
      </c>
      <c r="M33">
        <v>827924</v>
      </c>
      <c r="N33">
        <v>0</v>
      </c>
      <c r="O33">
        <v>74.291326253820898</v>
      </c>
      <c r="P33">
        <v>1.615661046797027E-3</v>
      </c>
      <c r="R33">
        <v>0.1691922771498551</v>
      </c>
      <c r="S33">
        <v>832714</v>
      </c>
      <c r="T33">
        <v>0.38219178082192773</v>
      </c>
      <c r="U33">
        <v>95.991716544294107</v>
      </c>
      <c r="V33">
        <v>1.7677055879839808E-3</v>
      </c>
      <c r="X33">
        <v>2.4316022244238602</v>
      </c>
      <c r="Y33">
        <v>827924</v>
      </c>
      <c r="Z33">
        <v>0</v>
      </c>
      <c r="AA33">
        <v>74.166449315068519</v>
      </c>
      <c r="AB33">
        <v>1.5768353208263743E-3</v>
      </c>
      <c r="AD33">
        <v>0.16937440734628079</v>
      </c>
      <c r="AE33">
        <v>832714</v>
      </c>
      <c r="AF33">
        <v>0.38219178082192773</v>
      </c>
      <c r="AG33">
        <v>102.76027397260279</v>
      </c>
      <c r="AH33">
        <v>1.7765684791778084E-3</v>
      </c>
      <c r="AJ33">
        <v>2.6181663393349113</v>
      </c>
      <c r="AK33">
        <v>827924</v>
      </c>
      <c r="AL33">
        <v>0</v>
      </c>
      <c r="AM33">
        <v>74.342301370432182</v>
      </c>
      <c r="AN33">
        <v>1.6098724825230556E-3</v>
      </c>
      <c r="AP33">
        <v>0.16918629331153517</v>
      </c>
      <c r="AQ33">
        <v>832714</v>
      </c>
      <c r="AR33">
        <v>0.38219178082192773</v>
      </c>
      <c r="AS33">
        <v>97.099821722417886</v>
      </c>
      <c r="AT33">
        <v>1.758290267318881E-3</v>
      </c>
      <c r="AV33">
        <v>2.4620844222165132</v>
      </c>
      <c r="AW33">
        <v>827924</v>
      </c>
      <c r="AX33">
        <v>0</v>
      </c>
      <c r="AY33">
        <v>74.166449315068519</v>
      </c>
      <c r="AZ33">
        <v>1.5807338032581368E-3</v>
      </c>
      <c r="BB33">
        <v>0.16937440734628079</v>
      </c>
      <c r="BC33">
        <v>832714</v>
      </c>
      <c r="BD33">
        <v>0.38219178082192773</v>
      </c>
      <c r="BE33">
        <v>102.76027397260279</v>
      </c>
      <c r="BF33">
        <v>1.7960059069596405E-3</v>
      </c>
      <c r="BH33">
        <v>2.6181663393349113</v>
      </c>
      <c r="BI33">
        <v>827924</v>
      </c>
      <c r="BJ33">
        <v>0</v>
      </c>
      <c r="BK33">
        <v>74.166410727750417</v>
      </c>
      <c r="BL33">
        <v>1.5866509226371388E-3</v>
      </c>
      <c r="BN33">
        <v>0.16937288525150221</v>
      </c>
      <c r="BO33">
        <v>832714</v>
      </c>
      <c r="BP33">
        <v>0.38219178082192773</v>
      </c>
      <c r="BQ33">
        <v>101.6255760218387</v>
      </c>
      <c r="BR33">
        <v>1.8090890257559181E-3</v>
      </c>
      <c r="BT33">
        <v>2.5868294139788421</v>
      </c>
      <c r="BU33">
        <v>827924</v>
      </c>
      <c r="BV33">
        <v>0</v>
      </c>
      <c r="BW33">
        <v>74.307899675143673</v>
      </c>
      <c r="BX33">
        <v>1.6004630656517192E-3</v>
      </c>
      <c r="BZ33">
        <v>0.16923405252411425</v>
      </c>
      <c r="CA33">
        <v>832714</v>
      </c>
      <c r="CB33">
        <v>0.38219178082192773</v>
      </c>
      <c r="CC33">
        <v>98.921537174770322</v>
      </c>
      <c r="CD33">
        <v>1.7645339393655183E-3</v>
      </c>
      <c r="CF33">
        <v>2.5122495791551445</v>
      </c>
      <c r="CG33">
        <v>827924</v>
      </c>
      <c r="CH33">
        <v>2</v>
      </c>
      <c r="CI33">
        <v>0</v>
      </c>
      <c r="CJ33">
        <v>0</v>
      </c>
      <c r="CK33">
        <v>75.009664401619418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832714</v>
      </c>
      <c r="DC33">
        <v>3</v>
      </c>
      <c r="DD33">
        <v>0</v>
      </c>
      <c r="DE33">
        <v>0.38219178082192773</v>
      </c>
      <c r="DF33">
        <v>0.7273972602739831</v>
      </c>
      <c r="DG33">
        <v>1.121917808219175</v>
      </c>
      <c r="DH33">
        <v>1.1342465753424791</v>
      </c>
      <c r="DI33">
        <v>1.1342465753424791</v>
      </c>
      <c r="DJ33">
        <v>2.2315068493150858</v>
      </c>
      <c r="DK33">
        <v>2.2684931506849582</v>
      </c>
      <c r="DL33">
        <v>93.760273972602789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</row>
    <row r="34" spans="1:126">
      <c r="A34">
        <v>827925</v>
      </c>
      <c r="B34">
        <v>0</v>
      </c>
      <c r="C34">
        <v>300.95438178759048</v>
      </c>
      <c r="D34">
        <v>6.4475947851745071E-3</v>
      </c>
      <c r="F34">
        <v>0.16957660256104634</v>
      </c>
      <c r="G34">
        <v>832714</v>
      </c>
      <c r="H34">
        <v>0.12739726027397591</v>
      </c>
      <c r="I34">
        <v>33.636123530763491</v>
      </c>
      <c r="J34">
        <v>5.9689316316658661E-4</v>
      </c>
      <c r="L34">
        <v>2.5670347432919778</v>
      </c>
      <c r="M34">
        <v>827925</v>
      </c>
      <c r="N34">
        <v>0</v>
      </c>
      <c r="O34">
        <v>302.90229110757639</v>
      </c>
      <c r="P34">
        <v>6.5874100975941976E-3</v>
      </c>
      <c r="R34">
        <v>0.16939949132559959</v>
      </c>
      <c r="S34">
        <v>832714</v>
      </c>
      <c r="T34">
        <v>0.12739726027397591</v>
      </c>
      <c r="U34">
        <v>31.997238848098036</v>
      </c>
      <c r="V34">
        <v>5.892351959946603E-4</v>
      </c>
      <c r="X34">
        <v>2.4316022244238602</v>
      </c>
      <c r="Y34">
        <v>827925</v>
      </c>
      <c r="Z34">
        <v>0</v>
      </c>
      <c r="AA34">
        <v>300.74958904109576</v>
      </c>
      <c r="AB34">
        <v>6.3941658135664029E-3</v>
      </c>
      <c r="AD34">
        <v>0.16962391886442918</v>
      </c>
      <c r="AE34">
        <v>832714</v>
      </c>
      <c r="AF34">
        <v>0.12739726027397591</v>
      </c>
      <c r="AG34">
        <v>34.253424657534261</v>
      </c>
      <c r="AH34">
        <v>5.9218949305926943E-4</v>
      </c>
      <c r="AJ34">
        <v>2.6181663393349113</v>
      </c>
      <c r="AK34">
        <v>827925</v>
      </c>
      <c r="AL34">
        <v>0</v>
      </c>
      <c r="AM34">
        <v>303.75951966354756</v>
      </c>
      <c r="AN34">
        <v>6.5778713195077318E-3</v>
      </c>
      <c r="AP34">
        <v>0.16939130390870744</v>
      </c>
      <c r="AQ34">
        <v>832714</v>
      </c>
      <c r="AR34">
        <v>0.12739726027397591</v>
      </c>
      <c r="AS34">
        <v>32.366607240805962</v>
      </c>
      <c r="AT34">
        <v>5.8609675577296031E-4</v>
      </c>
      <c r="AV34">
        <v>2.4620844222165132</v>
      </c>
      <c r="AW34">
        <v>827925</v>
      </c>
      <c r="AX34">
        <v>0</v>
      </c>
      <c r="AY34">
        <v>300.74958904109576</v>
      </c>
      <c r="AZ34">
        <v>6.4099744035698916E-3</v>
      </c>
      <c r="BB34">
        <v>0.16962391886442918</v>
      </c>
      <c r="BC34">
        <v>832714</v>
      </c>
      <c r="BD34">
        <v>0.12739726027397591</v>
      </c>
      <c r="BE34">
        <v>34.253424657534261</v>
      </c>
      <c r="BF34">
        <v>5.9866863565321345E-4</v>
      </c>
      <c r="BH34">
        <v>2.6181663393349113</v>
      </c>
      <c r="BI34">
        <v>827925</v>
      </c>
      <c r="BJ34">
        <v>0</v>
      </c>
      <c r="BK34">
        <v>300.74927617094903</v>
      </c>
      <c r="BL34">
        <v>6.4339653468027773E-3</v>
      </c>
      <c r="BN34">
        <v>0.16962068584388096</v>
      </c>
      <c r="BO34">
        <v>832714</v>
      </c>
      <c r="BP34">
        <v>0.12739726027397591</v>
      </c>
      <c r="BQ34">
        <v>33.875192007279566</v>
      </c>
      <c r="BR34">
        <v>6.0302967525197265E-4</v>
      </c>
      <c r="BT34">
        <v>2.5868294139788421</v>
      </c>
      <c r="BU34">
        <v>827925</v>
      </c>
      <c r="BV34">
        <v>0</v>
      </c>
      <c r="BW34">
        <v>303.16692260574092</v>
      </c>
      <c r="BX34">
        <v>6.529688828226775E-3</v>
      </c>
      <c r="BZ34">
        <v>0.16945012884747865</v>
      </c>
      <c r="CA34">
        <v>832714</v>
      </c>
      <c r="CB34">
        <v>0.12739726027397591</v>
      </c>
      <c r="CC34">
        <v>32.973845724923443</v>
      </c>
      <c r="CD34">
        <v>5.8817797978850614E-4</v>
      </c>
      <c r="CF34">
        <v>2.5122495791551445</v>
      </c>
      <c r="CG34">
        <v>827925</v>
      </c>
      <c r="CH34">
        <v>2</v>
      </c>
      <c r="CI34">
        <v>0</v>
      </c>
      <c r="CJ34">
        <v>0</v>
      </c>
      <c r="CK34">
        <v>0.46454796399455489</v>
      </c>
      <c r="CL34">
        <v>303.86437724515133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832714</v>
      </c>
      <c r="DC34">
        <v>1</v>
      </c>
      <c r="DD34">
        <v>0</v>
      </c>
      <c r="DE34">
        <v>0.12739726027397591</v>
      </c>
      <c r="DF34">
        <v>0.24246575342466103</v>
      </c>
      <c r="DG34">
        <v>0.37397260273972499</v>
      </c>
      <c r="DH34">
        <v>0.37808219178082636</v>
      </c>
      <c r="DI34">
        <v>0.37808219178082636</v>
      </c>
      <c r="DJ34">
        <v>0.74383561643836194</v>
      </c>
      <c r="DK34">
        <v>0.75616438356165272</v>
      </c>
      <c r="DL34">
        <v>31.253424657534261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</row>
    <row r="35" spans="1:126">
      <c r="A35">
        <v>827927</v>
      </c>
      <c r="B35">
        <v>0</v>
      </c>
      <c r="C35">
        <v>40.190065568230658</v>
      </c>
      <c r="D35">
        <v>8.6102503520429029E-4</v>
      </c>
      <c r="F35">
        <v>0.17005537447673588</v>
      </c>
      <c r="G35">
        <v>834059</v>
      </c>
      <c r="H35">
        <v>3.6911428701378313E-2</v>
      </c>
      <c r="I35">
        <v>55.180842949997533</v>
      </c>
      <c r="J35">
        <v>9.7921711651755981E-4</v>
      </c>
      <c r="L35">
        <v>6.9773843965825491E-2</v>
      </c>
      <c r="M35">
        <v>827927</v>
      </c>
      <c r="N35">
        <v>0</v>
      </c>
      <c r="O35">
        <v>40.851011888268715</v>
      </c>
      <c r="P35">
        <v>8.8841311574678608E-4</v>
      </c>
      <c r="R35">
        <v>0.16980000001839279</v>
      </c>
      <c r="S35">
        <v>834059</v>
      </c>
      <c r="T35">
        <v>0.3141717026739721</v>
      </c>
      <c r="U35">
        <v>55.380983948179406</v>
      </c>
      <c r="V35">
        <v>1.0198512779805795E-3</v>
      </c>
      <c r="X35">
        <v>6.9460664016180076E-2</v>
      </c>
      <c r="Y35">
        <v>827927</v>
      </c>
      <c r="Z35">
        <v>0</v>
      </c>
      <c r="AA35">
        <v>40.120109589041093</v>
      </c>
      <c r="AB35">
        <v>8.5298415199407021E-4</v>
      </c>
      <c r="AD35">
        <v>0.17012250849216415</v>
      </c>
      <c r="AE35">
        <v>834059</v>
      </c>
      <c r="AF35">
        <v>1.3863013698633964E-2</v>
      </c>
      <c r="AG35">
        <v>55.165150684931504</v>
      </c>
      <c r="AH35">
        <v>9.5372135619327663E-4</v>
      </c>
      <c r="AJ35">
        <v>6.9868184926472218E-2</v>
      </c>
      <c r="AK35">
        <v>827927</v>
      </c>
      <c r="AL35">
        <v>0</v>
      </c>
      <c r="AM35">
        <v>41.140726648752768</v>
      </c>
      <c r="AN35">
        <v>8.9089687192777604E-4</v>
      </c>
      <c r="AP35">
        <v>0.16978798485023511</v>
      </c>
      <c r="AQ35">
        <v>834059</v>
      </c>
      <c r="AR35">
        <v>0.44603098208669367</v>
      </c>
      <c r="AS35">
        <v>55.47835344499488</v>
      </c>
      <c r="AT35">
        <v>1.0046058497210431E-3</v>
      </c>
      <c r="AV35">
        <v>6.9470768865040181E-2</v>
      </c>
      <c r="AW35">
        <v>827927</v>
      </c>
      <c r="AX35">
        <v>0</v>
      </c>
      <c r="AY35">
        <v>40.120109589041093</v>
      </c>
      <c r="AZ35">
        <v>8.5509302391442894E-4</v>
      </c>
      <c r="BB35">
        <v>0.17012250849216415</v>
      </c>
      <c r="BC35">
        <v>834059</v>
      </c>
      <c r="BD35">
        <v>1.3863013698633964E-2</v>
      </c>
      <c r="BE35">
        <v>55.165150684931504</v>
      </c>
      <c r="BF35">
        <v>9.6415601728417754E-4</v>
      </c>
      <c r="BH35">
        <v>6.9868184926472218E-2</v>
      </c>
      <c r="BI35">
        <v>827927</v>
      </c>
      <c r="BJ35">
        <v>0</v>
      </c>
      <c r="BK35">
        <v>40.120025698584143</v>
      </c>
      <c r="BL35">
        <v>8.5829252307427994E-4</v>
      </c>
      <c r="BN35">
        <v>0.17011525920546217</v>
      </c>
      <c r="BO35">
        <v>834059</v>
      </c>
      <c r="BP35">
        <v>1.3863013698633964E-2</v>
      </c>
      <c r="BQ35">
        <v>55.164792427484031</v>
      </c>
      <c r="BR35">
        <v>9.820167766352297E-4</v>
      </c>
      <c r="BT35">
        <v>6.98431561826547E-2</v>
      </c>
      <c r="BU35">
        <v>827927</v>
      </c>
      <c r="BV35">
        <v>0</v>
      </c>
      <c r="BW35">
        <v>40.939551347772564</v>
      </c>
      <c r="BX35">
        <v>8.8176681271990708E-4</v>
      </c>
      <c r="BZ35">
        <v>0.16987218527723458</v>
      </c>
      <c r="CA35">
        <v>834059</v>
      </c>
      <c r="CB35">
        <v>0.36217581413755862</v>
      </c>
      <c r="CC35">
        <v>55.418171057408543</v>
      </c>
      <c r="CD35">
        <v>9.8853340214067795E-4</v>
      </c>
      <c r="CF35">
        <v>6.9577990949732535E-2</v>
      </c>
      <c r="CG35">
        <v>827927</v>
      </c>
      <c r="CH35">
        <v>2</v>
      </c>
      <c r="CI35">
        <v>0</v>
      </c>
      <c r="CJ35">
        <v>0</v>
      </c>
      <c r="CK35">
        <v>0.12490608240000256</v>
      </c>
      <c r="CL35">
        <v>0</v>
      </c>
      <c r="CM35">
        <v>0</v>
      </c>
      <c r="CN35">
        <v>40.515843872972674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834059</v>
      </c>
      <c r="DC35">
        <v>1</v>
      </c>
      <c r="DD35">
        <v>0</v>
      </c>
      <c r="DE35">
        <v>3.6911428701378313E-2</v>
      </c>
      <c r="DF35">
        <v>56.251525220904256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</row>
    <row r="36" spans="1:126">
      <c r="A36">
        <v>827928</v>
      </c>
      <c r="B36">
        <v>0</v>
      </c>
      <c r="C36">
        <v>14.033663293645089</v>
      </c>
      <c r="D36">
        <v>3.0065478273336095E-4</v>
      </c>
      <c r="F36">
        <v>0.16933543271698603</v>
      </c>
      <c r="G36">
        <v>834060</v>
      </c>
      <c r="H36">
        <v>0</v>
      </c>
      <c r="I36">
        <v>55.217137561183563</v>
      </c>
      <c r="J36">
        <v>9.7986118613684623E-4</v>
      </c>
      <c r="L36">
        <v>0.81658031136381337</v>
      </c>
      <c r="M36">
        <v>827928</v>
      </c>
      <c r="N36">
        <v>0</v>
      </c>
      <c r="O36">
        <v>14.055115777749899</v>
      </c>
      <c r="P36">
        <v>3.056656034480862E-4</v>
      </c>
      <c r="R36">
        <v>0.16919228201733821</v>
      </c>
      <c r="S36">
        <v>834060</v>
      </c>
      <c r="T36">
        <v>0</v>
      </c>
      <c r="U36">
        <v>55.411488385297247</v>
      </c>
      <c r="V36">
        <v>1.0204130229507992E-3</v>
      </c>
      <c r="X36">
        <v>0.81624375714539987</v>
      </c>
      <c r="Y36">
        <v>827928</v>
      </c>
      <c r="Z36">
        <v>0</v>
      </c>
      <c r="AA36">
        <v>14.031490410958908</v>
      </c>
      <c r="AB36">
        <v>2.9832019583201676E-4</v>
      </c>
      <c r="AD36">
        <v>0.16937440734628093</v>
      </c>
      <c r="AE36">
        <v>834060</v>
      </c>
      <c r="AF36">
        <v>0</v>
      </c>
      <c r="AG36">
        <v>55.165150684931497</v>
      </c>
      <c r="AH36">
        <v>9.5372135619327641E-4</v>
      </c>
      <c r="AJ36">
        <v>0.81669785115945659</v>
      </c>
      <c r="AK36">
        <v>827928</v>
      </c>
      <c r="AL36">
        <v>0</v>
      </c>
      <c r="AM36">
        <v>14.064759718730413</v>
      </c>
      <c r="AN36">
        <v>3.0457046966652404E-4</v>
      </c>
      <c r="AP36">
        <v>0.16918629331153531</v>
      </c>
      <c r="AQ36">
        <v>834060</v>
      </c>
      <c r="AR36">
        <v>0</v>
      </c>
      <c r="AS36">
        <v>55.45605533334161</v>
      </c>
      <c r="AT36">
        <v>1.0042020739776476E-3</v>
      </c>
      <c r="AV36">
        <v>0.81629340221558611</v>
      </c>
      <c r="AW36">
        <v>827928</v>
      </c>
      <c r="AX36">
        <v>0</v>
      </c>
      <c r="AY36">
        <v>14.031490410958908</v>
      </c>
      <c r="AZ36">
        <v>2.9905774656235017E-4</v>
      </c>
      <c r="BB36">
        <v>0.16937440734628093</v>
      </c>
      <c r="BC36">
        <v>834060</v>
      </c>
      <c r="BD36">
        <v>0</v>
      </c>
      <c r="BE36">
        <v>55.165150684931497</v>
      </c>
      <c r="BF36">
        <v>9.6415601728417743E-4</v>
      </c>
      <c r="BH36">
        <v>0.81669785115945659</v>
      </c>
      <c r="BI36">
        <v>827928</v>
      </c>
      <c r="BJ36">
        <v>0</v>
      </c>
      <c r="BK36">
        <v>14.031483110655483</v>
      </c>
      <c r="BL36">
        <v>3.0017720157999922E-4</v>
      </c>
      <c r="BN36">
        <v>0.16937288525150235</v>
      </c>
      <c r="BO36">
        <v>834060</v>
      </c>
      <c r="BP36">
        <v>0</v>
      </c>
      <c r="BQ36">
        <v>55.164438856806129</v>
      </c>
      <c r="BR36">
        <v>9.8201048254216525E-4</v>
      </c>
      <c r="BT36">
        <v>0.81664606163021058</v>
      </c>
      <c r="BU36">
        <v>827928</v>
      </c>
      <c r="BV36">
        <v>0</v>
      </c>
      <c r="BW36">
        <v>14.058251289892048</v>
      </c>
      <c r="BX36">
        <v>3.0279030971789287E-4</v>
      </c>
      <c r="BZ36">
        <v>0.16923406529063623</v>
      </c>
      <c r="CA36">
        <v>834060</v>
      </c>
      <c r="CB36">
        <v>0</v>
      </c>
      <c r="CC36">
        <v>55.393721963391378</v>
      </c>
      <c r="CD36">
        <v>9.8809728623091599E-4</v>
      </c>
      <c r="CF36">
        <v>0.81641356452991376</v>
      </c>
      <c r="CG36">
        <v>827928</v>
      </c>
      <c r="CH36">
        <v>2</v>
      </c>
      <c r="CI36">
        <v>0</v>
      </c>
      <c r="CJ36">
        <v>0</v>
      </c>
      <c r="CK36">
        <v>14.191017589495566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834060</v>
      </c>
      <c r="DC36">
        <v>1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56.328634308593386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</row>
    <row r="37" spans="1:126">
      <c r="A37">
        <v>827929</v>
      </c>
      <c r="B37">
        <v>0</v>
      </c>
      <c r="C37">
        <v>229.11025673756765</v>
      </c>
      <c r="D37">
        <v>4.908418637392456E-3</v>
      </c>
      <c r="F37">
        <v>1.5837382992649505</v>
      </c>
      <c r="G37">
        <v>834073</v>
      </c>
      <c r="H37">
        <v>0.1264451736940897</v>
      </c>
      <c r="I37">
        <v>703.15577193159277</v>
      </c>
      <c r="J37">
        <v>1.2477920427519747E-2</v>
      </c>
      <c r="L37">
        <v>1.4890460665667108E-2</v>
      </c>
      <c r="M37">
        <v>827929</v>
      </c>
      <c r="N37">
        <v>0</v>
      </c>
      <c r="O37">
        <v>222.08250475463225</v>
      </c>
      <c r="P37">
        <v>4.8297704483196086E-3</v>
      </c>
      <c r="R37">
        <v>1.532331210601362</v>
      </c>
      <c r="S37">
        <v>834073</v>
      </c>
      <c r="T37">
        <v>1.3154862695843761</v>
      </c>
      <c r="U37">
        <v>704.14305720724656</v>
      </c>
      <c r="V37">
        <v>1.2966927374311668E-2</v>
      </c>
      <c r="X37">
        <v>1.3895242237270931E-2</v>
      </c>
      <c r="Y37">
        <v>827929</v>
      </c>
      <c r="Z37">
        <v>0</v>
      </c>
      <c r="AA37">
        <v>231.00000000000006</v>
      </c>
      <c r="AB37">
        <v>4.9112363133836517E-3</v>
      </c>
      <c r="AD37">
        <v>1.5975731418140875</v>
      </c>
      <c r="AE37">
        <v>834073</v>
      </c>
      <c r="AF37">
        <v>5.9452054794428832E-2</v>
      </c>
      <c r="AG37">
        <v>703.15095890410726</v>
      </c>
      <c r="AH37">
        <v>1.2156408127383342E-2</v>
      </c>
      <c r="AJ37">
        <v>1.5371542599064734E-2</v>
      </c>
      <c r="AK37">
        <v>827929</v>
      </c>
      <c r="AL37">
        <v>0</v>
      </c>
      <c r="AM37">
        <v>222.06664906918635</v>
      </c>
      <c r="AN37">
        <v>4.8088232544920059E-3</v>
      </c>
      <c r="AP37">
        <v>1.5322153067885051</v>
      </c>
      <c r="AQ37">
        <v>834073</v>
      </c>
      <c r="AR37">
        <v>1.9075673421274253</v>
      </c>
      <c r="AS37">
        <v>704.72565795671653</v>
      </c>
      <c r="AT37">
        <v>1.2761220809009063E-2</v>
      </c>
      <c r="AV37">
        <v>1.4108623757428862E-2</v>
      </c>
      <c r="AW37">
        <v>827929</v>
      </c>
      <c r="AX37">
        <v>0</v>
      </c>
      <c r="AY37">
        <v>231.00000000000006</v>
      </c>
      <c r="AZ37">
        <v>4.9233785886314725E-3</v>
      </c>
      <c r="BB37">
        <v>1.5975731418140875</v>
      </c>
      <c r="BC37">
        <v>834073</v>
      </c>
      <c r="BD37">
        <v>5.9452054794428832E-2</v>
      </c>
      <c r="BE37">
        <v>703.14049138244138</v>
      </c>
      <c r="BF37">
        <v>1.2289228386857547E-2</v>
      </c>
      <c r="BH37">
        <v>1.5283441592723268E-2</v>
      </c>
      <c r="BI37">
        <v>827929</v>
      </c>
      <c r="BJ37">
        <v>0</v>
      </c>
      <c r="BK37">
        <v>231.00000000000006</v>
      </c>
      <c r="BL37">
        <v>4.9418107136744837E-3</v>
      </c>
      <c r="BN37">
        <v>1.5975731418140875</v>
      </c>
      <c r="BO37">
        <v>834073</v>
      </c>
      <c r="BP37">
        <v>5.9452054794428832E-2</v>
      </c>
      <c r="BQ37">
        <v>703.1049208423824</v>
      </c>
      <c r="BR37">
        <v>1.2516331479170136E-2</v>
      </c>
      <c r="BT37">
        <v>1.4988077129398562E-2</v>
      </c>
      <c r="BU37">
        <v>827929</v>
      </c>
      <c r="BV37">
        <v>0</v>
      </c>
      <c r="BW37">
        <v>224.47390827888714</v>
      </c>
      <c r="BX37">
        <v>4.8347780111328512E-3</v>
      </c>
      <c r="BZ37">
        <v>1.5498162657553953</v>
      </c>
      <c r="CA37">
        <v>834073</v>
      </c>
      <c r="CB37">
        <v>1.5506110658199512</v>
      </c>
      <c r="CC37">
        <v>704.43859642695691</v>
      </c>
      <c r="CD37">
        <v>1.2565573151156006E-2</v>
      </c>
      <c r="CF37">
        <v>1.4477335807551289E-2</v>
      </c>
      <c r="CG37">
        <v>827929</v>
      </c>
      <c r="CH37">
        <v>2</v>
      </c>
      <c r="CI37">
        <v>0</v>
      </c>
      <c r="CJ37">
        <v>0</v>
      </c>
      <c r="CK37">
        <v>5.2068493150684869</v>
      </c>
      <c r="CL37">
        <v>0</v>
      </c>
      <c r="CM37">
        <v>5.293150684931522</v>
      </c>
      <c r="CN37">
        <v>0</v>
      </c>
      <c r="CO37">
        <v>5.2068493150684869</v>
      </c>
      <c r="CP37">
        <v>215.29315068493153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834073</v>
      </c>
      <c r="DC37">
        <v>2</v>
      </c>
      <c r="DD37">
        <v>0</v>
      </c>
      <c r="DE37">
        <v>743.62316531626914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</row>
    <row r="38" spans="1:126">
      <c r="A38">
        <v>827930</v>
      </c>
      <c r="B38">
        <v>0</v>
      </c>
      <c r="C38">
        <v>501.84013135786114</v>
      </c>
      <c r="D38">
        <v>1.0751336447455087E-2</v>
      </c>
      <c r="F38">
        <v>0.16531242981375821</v>
      </c>
      <c r="G38">
        <v>834074</v>
      </c>
      <c r="H38">
        <v>0</v>
      </c>
      <c r="I38">
        <v>236.10462379581233</v>
      </c>
      <c r="J38">
        <v>4.1898179975122856E-3</v>
      </c>
      <c r="L38">
        <v>9.9440105375031451E-2</v>
      </c>
      <c r="M38">
        <v>827930</v>
      </c>
      <c r="N38">
        <v>0</v>
      </c>
      <c r="O38">
        <v>505.1294797842848</v>
      </c>
      <c r="P38">
        <v>1.0985374272199661E-2</v>
      </c>
      <c r="R38">
        <v>0.16500680811391305</v>
      </c>
      <c r="S38">
        <v>834074</v>
      </c>
      <c r="T38">
        <v>0</v>
      </c>
      <c r="U38">
        <v>236.82082750849935</v>
      </c>
      <c r="V38">
        <v>4.3611002616521987E-3</v>
      </c>
      <c r="X38">
        <v>9.8449236309625973E-2</v>
      </c>
      <c r="Y38">
        <v>827930</v>
      </c>
      <c r="Z38">
        <v>0</v>
      </c>
      <c r="AA38">
        <v>501.50136986301351</v>
      </c>
      <c r="AB38">
        <v>1.0662301899925874E-2</v>
      </c>
      <c r="AD38">
        <v>0.16540315351993523</v>
      </c>
      <c r="AE38">
        <v>834074</v>
      </c>
      <c r="AF38">
        <v>0</v>
      </c>
      <c r="AG38">
        <v>236.05717808219183</v>
      </c>
      <c r="AH38">
        <v>4.0810687403995682E-3</v>
      </c>
      <c r="AJ38">
        <v>9.9915404022573151E-2</v>
      </c>
      <c r="AK38">
        <v>827930</v>
      </c>
      <c r="AL38">
        <v>0</v>
      </c>
      <c r="AM38">
        <v>506.59162084909417</v>
      </c>
      <c r="AN38">
        <v>1.0970173040756495E-2</v>
      </c>
      <c r="AP38">
        <v>0.16501337194282076</v>
      </c>
      <c r="AQ38">
        <v>834074</v>
      </c>
      <c r="AR38">
        <v>0</v>
      </c>
      <c r="AS38">
        <v>237.18321851447359</v>
      </c>
      <c r="AT38">
        <v>4.2949300759538168E-3</v>
      </c>
      <c r="AV38">
        <v>9.8653988369906118E-2</v>
      </c>
      <c r="AW38">
        <v>827930</v>
      </c>
      <c r="AX38">
        <v>0</v>
      </c>
      <c r="AY38">
        <v>501.50136986301351</v>
      </c>
      <c r="AZ38">
        <v>1.0688662798930359E-2</v>
      </c>
      <c r="BB38">
        <v>0.16540315351993523</v>
      </c>
      <c r="BC38">
        <v>834074</v>
      </c>
      <c r="BD38">
        <v>0</v>
      </c>
      <c r="BE38">
        <v>236.05367975565457</v>
      </c>
      <c r="BF38">
        <v>4.125658552776401E-3</v>
      </c>
      <c r="BH38">
        <v>9.9828856360294746E-2</v>
      </c>
      <c r="BI38">
        <v>827930</v>
      </c>
      <c r="BJ38">
        <v>0</v>
      </c>
      <c r="BK38">
        <v>501.49833532513884</v>
      </c>
      <c r="BL38">
        <v>1.0728614053678307E-2</v>
      </c>
      <c r="BN38">
        <v>0.16538038592558407</v>
      </c>
      <c r="BO38">
        <v>834074</v>
      </c>
      <c r="BP38">
        <v>0</v>
      </c>
      <c r="BQ38">
        <v>236.04176492704531</v>
      </c>
      <c r="BR38">
        <v>4.2019005772504728E-3</v>
      </c>
      <c r="BT38">
        <v>9.9538085192300854E-2</v>
      </c>
      <c r="BU38">
        <v>827930</v>
      </c>
      <c r="BV38">
        <v>0</v>
      </c>
      <c r="BW38">
        <v>505.59219490545274</v>
      </c>
      <c r="BX38">
        <v>1.088957752494029E-2</v>
      </c>
      <c r="BZ38">
        <v>0.16511738222863123</v>
      </c>
      <c r="CA38">
        <v>834074</v>
      </c>
      <c r="CB38">
        <v>0</v>
      </c>
      <c r="CC38">
        <v>236.96960703482762</v>
      </c>
      <c r="CD38">
        <v>4.226995719570247E-3</v>
      </c>
      <c r="CF38">
        <v>9.9019768422248661E-2</v>
      </c>
      <c r="CG38">
        <v>827930</v>
      </c>
      <c r="CH38">
        <v>2</v>
      </c>
      <c r="CI38">
        <v>0</v>
      </c>
      <c r="CJ38">
        <v>0</v>
      </c>
      <c r="CK38">
        <v>0.76836727870321919</v>
      </c>
      <c r="CL38">
        <v>510.02357229602524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834074</v>
      </c>
      <c r="DC38">
        <v>1</v>
      </c>
      <c r="DD38">
        <v>0</v>
      </c>
      <c r="DE38">
        <v>0</v>
      </c>
      <c r="DF38">
        <v>249.13075621527523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</row>
    <row r="39" spans="1:126">
      <c r="A39">
        <v>827931</v>
      </c>
      <c r="B39">
        <v>0</v>
      </c>
      <c r="C39">
        <v>1307.07018773768</v>
      </c>
      <c r="D39">
        <v>2.8002446338403927E-2</v>
      </c>
      <c r="F39">
        <v>0.67141237195876735</v>
      </c>
      <c r="G39">
        <v>834825</v>
      </c>
      <c r="H39">
        <v>0</v>
      </c>
      <c r="I39">
        <v>591.35855173198479</v>
      </c>
      <c r="J39">
        <v>1.0494011778321707E-2</v>
      </c>
      <c r="L39">
        <v>3.3910517980187622</v>
      </c>
      <c r="M39">
        <v>827931</v>
      </c>
      <c r="N39">
        <v>0</v>
      </c>
      <c r="O39">
        <v>1315.3908831770821</v>
      </c>
      <c r="P39">
        <v>2.8606647887805706E-2</v>
      </c>
      <c r="R39">
        <v>0.67068801254197152</v>
      </c>
      <c r="S39">
        <v>834825</v>
      </c>
      <c r="T39">
        <v>0</v>
      </c>
      <c r="U39">
        <v>553.96201844472637</v>
      </c>
      <c r="V39">
        <v>1.020131518414685E-2</v>
      </c>
      <c r="X39">
        <v>3.1541054328635449</v>
      </c>
      <c r="Y39">
        <v>827931</v>
      </c>
      <c r="Z39">
        <v>0</v>
      </c>
      <c r="AA39">
        <v>1305.2035616438357</v>
      </c>
      <c r="AB39">
        <v>2.7749623932047107E-2</v>
      </c>
      <c r="AD39">
        <v>0.67174042665699985</v>
      </c>
      <c r="AE39">
        <v>834825</v>
      </c>
      <c r="AF39">
        <v>0</v>
      </c>
      <c r="AG39">
        <v>613.76712328767167</v>
      </c>
      <c r="AH39">
        <v>1.0611097875033223E-2</v>
      </c>
      <c r="AJ39">
        <v>3.5337175248067041</v>
      </c>
      <c r="AK39">
        <v>827931</v>
      </c>
      <c r="AL39">
        <v>0</v>
      </c>
      <c r="AM39">
        <v>1317.6987933644257</v>
      </c>
      <c r="AN39">
        <v>2.853458917179726E-2</v>
      </c>
      <c r="AP39">
        <v>0.67083732479884195</v>
      </c>
      <c r="AQ39">
        <v>834825</v>
      </c>
      <c r="AR39">
        <v>0</v>
      </c>
      <c r="AS39">
        <v>567.79871009030501</v>
      </c>
      <c r="AT39">
        <v>1.028173819517429E-2</v>
      </c>
      <c r="AV39">
        <v>3.2416035316239067</v>
      </c>
      <c r="AW39">
        <v>827931</v>
      </c>
      <c r="AX39">
        <v>0</v>
      </c>
      <c r="AY39">
        <v>1305.1922924611381</v>
      </c>
      <c r="AZ39">
        <v>2.7817990418831137E-2</v>
      </c>
      <c r="BB39">
        <v>0.67169593512140913</v>
      </c>
      <c r="BC39">
        <v>834825</v>
      </c>
      <c r="BD39">
        <v>0</v>
      </c>
      <c r="BE39">
        <v>607.82252367917022</v>
      </c>
      <c r="BF39">
        <v>1.0623296345063798E-2</v>
      </c>
      <c r="BH39">
        <v>3.4958227595819742</v>
      </c>
      <c r="BI39">
        <v>827931</v>
      </c>
      <c r="BJ39">
        <v>0</v>
      </c>
      <c r="BK39">
        <v>1305.1427203801998</v>
      </c>
      <c r="BL39">
        <v>2.7921074798481084E-2</v>
      </c>
      <c r="BN39">
        <v>0.67150249464340273</v>
      </c>
      <c r="BO39">
        <v>834825</v>
      </c>
      <c r="BP39">
        <v>0</v>
      </c>
      <c r="BQ39">
        <v>591.01823235735208</v>
      </c>
      <c r="BR39">
        <v>1.0521018822560785E-2</v>
      </c>
      <c r="BT39">
        <v>3.3888889776729618</v>
      </c>
      <c r="BU39">
        <v>827931</v>
      </c>
      <c r="BV39">
        <v>0</v>
      </c>
      <c r="BW39">
        <v>1315.06485514061</v>
      </c>
      <c r="BX39">
        <v>2.8324212348760688E-2</v>
      </c>
      <c r="BZ39">
        <v>0.67110327554462923</v>
      </c>
      <c r="CA39">
        <v>834825</v>
      </c>
      <c r="CB39">
        <v>0</v>
      </c>
      <c r="CC39">
        <v>582.50506788711289</v>
      </c>
      <c r="CD39">
        <v>1.039055792595767E-2</v>
      </c>
      <c r="CF39">
        <v>3.3348238294172021</v>
      </c>
      <c r="CG39">
        <v>827931</v>
      </c>
      <c r="CH39">
        <v>2</v>
      </c>
      <c r="CI39">
        <v>0</v>
      </c>
      <c r="CJ39">
        <v>0</v>
      </c>
      <c r="CK39">
        <v>0</v>
      </c>
      <c r="CL39">
        <v>0</v>
      </c>
      <c r="CM39">
        <v>7.159250435999942</v>
      </c>
      <c r="CN39">
        <v>1349.1637371727149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834825</v>
      </c>
      <c r="DC39">
        <v>1</v>
      </c>
      <c r="DD39">
        <v>0</v>
      </c>
      <c r="DE39">
        <v>2.1869863013699198</v>
      </c>
      <c r="DF39">
        <v>4.1623287671233475</v>
      </c>
      <c r="DG39">
        <v>6.4198630136986132</v>
      </c>
      <c r="DH39">
        <v>6.4904109589041861</v>
      </c>
      <c r="DI39">
        <v>6.490410958904187</v>
      </c>
      <c r="DJ39">
        <v>12.76917808219188</v>
      </c>
      <c r="DK39">
        <v>12.980821917808372</v>
      </c>
      <c r="DL39">
        <v>25.820547945205711</v>
      </c>
      <c r="DM39">
        <v>536.44657534246596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</row>
    <row r="40" spans="1:126">
      <c r="A40">
        <v>836254</v>
      </c>
      <c r="B40">
        <v>0</v>
      </c>
      <c r="C40">
        <v>150.41115406392444</v>
      </c>
      <c r="D40">
        <v>3.2223826309301035E-3</v>
      </c>
      <c r="F40">
        <v>0.24445357489622924</v>
      </c>
      <c r="G40">
        <v>835698</v>
      </c>
      <c r="H40">
        <v>1.2878784989163172E-2</v>
      </c>
      <c r="I40">
        <v>60.179247491129239</v>
      </c>
      <c r="J40">
        <v>1.0679167996012428E-3</v>
      </c>
      <c r="L40">
        <v>3.1441297625105294E-2</v>
      </c>
      <c r="M40">
        <v>836254</v>
      </c>
      <c r="N40">
        <v>0</v>
      </c>
      <c r="O40">
        <v>150.41586470904616</v>
      </c>
      <c r="P40">
        <v>3.2711901332922919E-3</v>
      </c>
      <c r="R40">
        <v>0.24418798471809394</v>
      </c>
      <c r="S40">
        <v>835698</v>
      </c>
      <c r="T40">
        <v>0.1147965932083439</v>
      </c>
      <c r="U40">
        <v>60.243468042285976</v>
      </c>
      <c r="V40">
        <v>1.1093948408427892E-3</v>
      </c>
      <c r="X40">
        <v>3.1143932419106093E-2</v>
      </c>
      <c r="Y40">
        <v>836254</v>
      </c>
      <c r="Z40">
        <v>0</v>
      </c>
      <c r="AA40">
        <v>150.41260273972608</v>
      </c>
      <c r="AB40">
        <v>3.1978867383804844E-3</v>
      </c>
      <c r="AD40">
        <v>0.24453525700318024</v>
      </c>
      <c r="AE40">
        <v>835698</v>
      </c>
      <c r="AF40">
        <v>5.0958904109510428E-3</v>
      </c>
      <c r="AG40">
        <v>60.175397260273883</v>
      </c>
      <c r="AH40">
        <v>1.0403408813712161E-3</v>
      </c>
      <c r="AJ40">
        <v>3.1531850389739005E-2</v>
      </c>
      <c r="AK40">
        <v>836254</v>
      </c>
      <c r="AL40">
        <v>0</v>
      </c>
      <c r="AM40">
        <v>150.42309096963947</v>
      </c>
      <c r="AN40">
        <v>3.2573916925364228E-3</v>
      </c>
      <c r="AP40">
        <v>0.24420156904754137</v>
      </c>
      <c r="AQ40">
        <v>835698</v>
      </c>
      <c r="AR40">
        <v>0.16471410296262423</v>
      </c>
      <c r="AS40">
        <v>60.277476232800822</v>
      </c>
      <c r="AT40">
        <v>1.0915086960886721E-3</v>
      </c>
      <c r="AV40">
        <v>3.1156387897621811E-2</v>
      </c>
      <c r="AW40">
        <v>836254</v>
      </c>
      <c r="AX40">
        <v>0</v>
      </c>
      <c r="AY40">
        <v>150.41260273972608</v>
      </c>
      <c r="AZ40">
        <v>3.2057930207320291E-3</v>
      </c>
      <c r="BB40">
        <v>0.24453525700318024</v>
      </c>
      <c r="BC40">
        <v>835698</v>
      </c>
      <c r="BD40">
        <v>5.0958904109510428E-3</v>
      </c>
      <c r="BE40">
        <v>60.175397260273883</v>
      </c>
      <c r="BF40">
        <v>1.0517232462995295E-3</v>
      </c>
      <c r="BH40">
        <v>3.1531850389739005E-2</v>
      </c>
      <c r="BI40">
        <v>836254</v>
      </c>
      <c r="BJ40">
        <v>0</v>
      </c>
      <c r="BK40">
        <v>150.41179233466966</v>
      </c>
      <c r="BL40">
        <v>3.2177775187119131E-3</v>
      </c>
      <c r="BN40">
        <v>0.24451572578103747</v>
      </c>
      <c r="BO40">
        <v>835698</v>
      </c>
      <c r="BP40">
        <v>5.0958904109510428E-3</v>
      </c>
      <c r="BQ40">
        <v>60.175034839847129</v>
      </c>
      <c r="BR40">
        <v>1.0712066727164597E-3</v>
      </c>
      <c r="BT40">
        <v>3.1508726606178671E-2</v>
      </c>
      <c r="BU40">
        <v>836254</v>
      </c>
      <c r="BV40">
        <v>0</v>
      </c>
      <c r="BW40">
        <v>150.42214456833463</v>
      </c>
      <c r="BX40">
        <v>3.2398316691794921E-3</v>
      </c>
      <c r="BZ40">
        <v>0.24429316545499649</v>
      </c>
      <c r="CA40">
        <v>835698</v>
      </c>
      <c r="CB40">
        <v>0.13403462106133635</v>
      </c>
      <c r="CC40">
        <v>60.258397045936981</v>
      </c>
      <c r="CD40">
        <v>1.0748719617191449E-3</v>
      </c>
      <c r="CF40">
        <v>3.1258661701396739E-2</v>
      </c>
      <c r="CG40">
        <v>836254</v>
      </c>
      <c r="CH40">
        <v>2</v>
      </c>
      <c r="CI40">
        <v>0</v>
      </c>
      <c r="CJ40">
        <v>0</v>
      </c>
      <c r="CK40">
        <v>153.26665418289068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835698</v>
      </c>
      <c r="DC40">
        <v>1</v>
      </c>
      <c r="DD40">
        <v>0</v>
      </c>
      <c r="DE40">
        <v>61.433217540406986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</row>
    <row r="41" spans="1:126">
      <c r="A41">
        <v>836571</v>
      </c>
      <c r="B41">
        <v>0.86605184582765393</v>
      </c>
      <c r="C41">
        <v>220.58863236646204</v>
      </c>
      <c r="D41">
        <v>4.7258528261555381E-3</v>
      </c>
      <c r="F41">
        <v>1.6799875533980029</v>
      </c>
      <c r="G41">
        <v>835700</v>
      </c>
      <c r="H41">
        <v>0</v>
      </c>
      <c r="I41">
        <v>702.94510276009783</v>
      </c>
      <c r="J41">
        <v>1.2474181976861475E-2</v>
      </c>
      <c r="L41">
        <v>0.1195107521551491</v>
      </c>
      <c r="M41">
        <v>836571</v>
      </c>
      <c r="N41">
        <v>0.86605184351837883</v>
      </c>
      <c r="O41">
        <v>213.4248188450367</v>
      </c>
      <c r="P41">
        <v>4.6414862086259119E-3</v>
      </c>
      <c r="R41">
        <v>1.6223427023616579</v>
      </c>
      <c r="S41">
        <v>835700</v>
      </c>
      <c r="T41">
        <v>0</v>
      </c>
      <c r="U41">
        <v>704.79446484363712</v>
      </c>
      <c r="V41">
        <v>1.2978923168952675E-2</v>
      </c>
      <c r="X41">
        <v>0.11878698420137281</v>
      </c>
      <c r="Y41">
        <v>836571</v>
      </c>
      <c r="Z41">
        <v>0.86604657534248819</v>
      </c>
      <c r="AA41">
        <v>222.62984383561661</v>
      </c>
      <c r="AB41">
        <v>4.7332804047117384E-3</v>
      </c>
      <c r="AD41">
        <v>1.6964277671868897</v>
      </c>
      <c r="AE41">
        <v>835700</v>
      </c>
      <c r="AF41">
        <v>0</v>
      </c>
      <c r="AG41">
        <v>702.80383561643885</v>
      </c>
      <c r="AH41">
        <v>1.2150406894928233E-2</v>
      </c>
      <c r="AJ41">
        <v>0.11981256835540356</v>
      </c>
      <c r="AK41">
        <v>836571</v>
      </c>
      <c r="AL41">
        <v>0.86614618007414135</v>
      </c>
      <c r="AM41">
        <v>214.72377033427946</v>
      </c>
      <c r="AN41">
        <v>4.6498142084990899E-3</v>
      </c>
      <c r="AP41">
        <v>1.6327886495323383</v>
      </c>
      <c r="AQ41">
        <v>835700</v>
      </c>
      <c r="AR41">
        <v>0</v>
      </c>
      <c r="AS41">
        <v>705.70459860668109</v>
      </c>
      <c r="AT41">
        <v>1.2778947533801989E-2</v>
      </c>
      <c r="AV41">
        <v>0.11890475244669529</v>
      </c>
      <c r="AW41">
        <v>836571</v>
      </c>
      <c r="AX41">
        <v>0.86604657534248819</v>
      </c>
      <c r="AY41">
        <v>222.62984383561661</v>
      </c>
      <c r="AZ41">
        <v>4.7449827113880648E-3</v>
      </c>
      <c r="BB41">
        <v>1.6964277671868897</v>
      </c>
      <c r="BC41">
        <v>835700</v>
      </c>
      <c r="BD41">
        <v>0</v>
      </c>
      <c r="BE41">
        <v>702.7994004024805</v>
      </c>
      <c r="BF41">
        <v>1.2283266925378924E-2</v>
      </c>
      <c r="BH41">
        <v>0.119779706665331</v>
      </c>
      <c r="BI41">
        <v>836571</v>
      </c>
      <c r="BJ41">
        <v>0.86604657534248819</v>
      </c>
      <c r="BK41">
        <v>222.62984383561661</v>
      </c>
      <c r="BL41">
        <v>4.76274695866029E-3</v>
      </c>
      <c r="BN41">
        <v>1.6964277671868897</v>
      </c>
      <c r="BO41">
        <v>835700</v>
      </c>
      <c r="BP41">
        <v>0</v>
      </c>
      <c r="BQ41">
        <v>702.77674581452857</v>
      </c>
      <c r="BR41">
        <v>1.2510489467103312E-2</v>
      </c>
      <c r="BT41">
        <v>0.11961336561951173</v>
      </c>
      <c r="BU41">
        <v>836571</v>
      </c>
      <c r="BV41">
        <v>0.86612701076174825</v>
      </c>
      <c r="BW41">
        <v>216.61646636775271</v>
      </c>
      <c r="BX41">
        <v>4.6655423629144007E-3</v>
      </c>
      <c r="BZ41">
        <v>1.6480144163327151</v>
      </c>
      <c r="CA41">
        <v>835700</v>
      </c>
      <c r="CB41">
        <v>0</v>
      </c>
      <c r="CC41">
        <v>705.15065701508888</v>
      </c>
      <c r="CD41">
        <v>1.2578274683203812E-2</v>
      </c>
      <c r="CF41">
        <v>0.1191663317565029</v>
      </c>
      <c r="CG41">
        <v>836571</v>
      </c>
      <c r="CH41">
        <v>2</v>
      </c>
      <c r="CI41">
        <v>0</v>
      </c>
      <c r="CJ41">
        <v>0.86605184582765393</v>
      </c>
      <c r="CK41">
        <v>1.6483809858507594</v>
      </c>
      <c r="CL41">
        <v>2.5704495858673022</v>
      </c>
      <c r="CM41">
        <v>2.5707998214824928</v>
      </c>
      <c r="CN41">
        <v>2.5437268203981973</v>
      </c>
      <c r="CO41">
        <v>5.0872057963597825</v>
      </c>
      <c r="CP41">
        <v>207.17995929451487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835700</v>
      </c>
      <c r="DC41">
        <v>1</v>
      </c>
      <c r="DD41">
        <v>0</v>
      </c>
      <c r="DE41">
        <v>0</v>
      </c>
      <c r="DF41">
        <v>732.75895257630543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</row>
    <row r="42" spans="1:126">
      <c r="A42">
        <v>838693</v>
      </c>
      <c r="B42">
        <v>0</v>
      </c>
      <c r="C42">
        <v>2007.4291011746764</v>
      </c>
      <c r="D42">
        <v>4.3006814944719592E-2</v>
      </c>
      <c r="F42">
        <v>0.42421597158750951</v>
      </c>
      <c r="G42">
        <v>835702</v>
      </c>
      <c r="H42">
        <v>0</v>
      </c>
      <c r="I42">
        <v>356.82793440184844</v>
      </c>
      <c r="J42">
        <v>6.3321254685166179E-3</v>
      </c>
      <c r="L42">
        <v>0.12341551922829458</v>
      </c>
      <c r="M42">
        <v>838693</v>
      </c>
      <c r="N42">
        <v>0</v>
      </c>
      <c r="O42">
        <v>2010.3242729900842</v>
      </c>
      <c r="P42">
        <v>4.3719809338221137E-2</v>
      </c>
      <c r="R42">
        <v>0.4236915081640088</v>
      </c>
      <c r="S42">
        <v>835702</v>
      </c>
      <c r="T42">
        <v>0</v>
      </c>
      <c r="U42">
        <v>357.73977751091763</v>
      </c>
      <c r="V42">
        <v>6.5878455612197783E-3</v>
      </c>
      <c r="X42">
        <v>0.12208596922405064</v>
      </c>
      <c r="Y42">
        <v>838693</v>
      </c>
      <c r="Z42">
        <v>0</v>
      </c>
      <c r="AA42">
        <v>2007.0027397260267</v>
      </c>
      <c r="AB42">
        <v>4.2670410114298431E-2</v>
      </c>
      <c r="AD42">
        <v>0.42441932907162966</v>
      </c>
      <c r="AE42">
        <v>835702</v>
      </c>
      <c r="AF42">
        <v>0</v>
      </c>
      <c r="AG42">
        <v>356.77694520547976</v>
      </c>
      <c r="AH42">
        <v>6.168129476945468E-3</v>
      </c>
      <c r="AJ42">
        <v>0.12416176473169886</v>
      </c>
      <c r="AK42">
        <v>838693</v>
      </c>
      <c r="AL42">
        <v>0</v>
      </c>
      <c r="AM42">
        <v>2011.4525671137349</v>
      </c>
      <c r="AN42">
        <v>4.3557733322803327E-2</v>
      </c>
      <c r="AP42">
        <v>0.42377142953395697</v>
      </c>
      <c r="AQ42">
        <v>835702</v>
      </c>
      <c r="AR42">
        <v>0</v>
      </c>
      <c r="AS42">
        <v>358.21386624110067</v>
      </c>
      <c r="AT42">
        <v>6.4865613907196269E-3</v>
      </c>
      <c r="AV42">
        <v>0.12243117356391837</v>
      </c>
      <c r="AW42">
        <v>838693</v>
      </c>
      <c r="AX42">
        <v>0</v>
      </c>
      <c r="AY42">
        <v>2006.9976320723135</v>
      </c>
      <c r="AZ42">
        <v>4.2775797269172695E-2</v>
      </c>
      <c r="BB42">
        <v>0.42440765609933356</v>
      </c>
      <c r="BC42">
        <v>835702</v>
      </c>
      <c r="BD42">
        <v>0</v>
      </c>
      <c r="BE42">
        <v>356.76633553743955</v>
      </c>
      <c r="BF42">
        <v>6.2354295221168825E-3</v>
      </c>
      <c r="BH42">
        <v>0.12396832160754556</v>
      </c>
      <c r="BI42">
        <v>838693</v>
      </c>
      <c r="BJ42">
        <v>0</v>
      </c>
      <c r="BK42">
        <v>2006.9530940084758</v>
      </c>
      <c r="BL42">
        <v>4.293498831953782E-2</v>
      </c>
      <c r="BN42">
        <v>0.4243065527886471</v>
      </c>
      <c r="BO42">
        <v>835702</v>
      </c>
      <c r="BP42">
        <v>0</v>
      </c>
      <c r="BQ42">
        <v>356.73903184083247</v>
      </c>
      <c r="BR42">
        <v>6.3504945588043161E-3</v>
      </c>
      <c r="BT42">
        <v>0.12348033644730456</v>
      </c>
      <c r="BU42">
        <v>838693</v>
      </c>
      <c r="BV42">
        <v>0</v>
      </c>
      <c r="BW42">
        <v>2010.5640626234474</v>
      </c>
      <c r="BX42">
        <v>4.330405700367114E-2</v>
      </c>
      <c r="BZ42">
        <v>0.42395971832142992</v>
      </c>
      <c r="CA42">
        <v>835702</v>
      </c>
      <c r="CB42">
        <v>0</v>
      </c>
      <c r="CC42">
        <v>357.94369942651406</v>
      </c>
      <c r="CD42">
        <v>6.3848967986035576E-3</v>
      </c>
      <c r="CF42">
        <v>0.12293546774803671</v>
      </c>
      <c r="CG42">
        <v>838693</v>
      </c>
      <c r="CH42">
        <v>2</v>
      </c>
      <c r="CI42">
        <v>0</v>
      </c>
      <c r="CJ42">
        <v>0</v>
      </c>
      <c r="CK42">
        <v>0</v>
      </c>
      <c r="CL42">
        <v>2071.3943397105595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835702</v>
      </c>
      <c r="DC42">
        <v>1</v>
      </c>
      <c r="DD42">
        <v>0</v>
      </c>
      <c r="DE42">
        <v>0</v>
      </c>
      <c r="DF42">
        <v>382.255330769095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</row>
    <row r="43" spans="1:126">
      <c r="A43">
        <v>839256</v>
      </c>
      <c r="B43">
        <v>0</v>
      </c>
      <c r="C43">
        <v>60.192101089687576</v>
      </c>
      <c r="D43">
        <v>1.2895451954857333E-3</v>
      </c>
      <c r="F43">
        <v>0.13553696962821885</v>
      </c>
      <c r="G43">
        <v>839256</v>
      </c>
      <c r="H43">
        <v>0</v>
      </c>
      <c r="I43">
        <v>30.096050544843788</v>
      </c>
      <c r="J43">
        <v>5.3407244720407067E-4</v>
      </c>
      <c r="L43">
        <v>0.13553696962821885</v>
      </c>
      <c r="M43">
        <v>839256</v>
      </c>
      <c r="N43">
        <v>0</v>
      </c>
      <c r="O43">
        <v>60.324634794472395</v>
      </c>
      <c r="P43">
        <v>1.3119184636264712E-3</v>
      </c>
      <c r="R43">
        <v>0.13521324177455207</v>
      </c>
      <c r="S43">
        <v>839256</v>
      </c>
      <c r="T43">
        <v>0</v>
      </c>
      <c r="U43">
        <v>30.162317397236198</v>
      </c>
      <c r="V43">
        <v>5.554447709562307E-4</v>
      </c>
      <c r="X43">
        <v>0.13521324177455207</v>
      </c>
      <c r="Y43">
        <v>839256</v>
      </c>
      <c r="Z43">
        <v>0</v>
      </c>
      <c r="AA43">
        <v>60.18016438356166</v>
      </c>
      <c r="AB43">
        <v>1.2794762279911057E-3</v>
      </c>
      <c r="AD43">
        <v>0.13563797628852628</v>
      </c>
      <c r="AE43">
        <v>839256</v>
      </c>
      <c r="AF43">
        <v>0</v>
      </c>
      <c r="AG43">
        <v>30.09008219178083</v>
      </c>
      <c r="AH43">
        <v>5.2021164883269647E-4</v>
      </c>
      <c r="AJ43">
        <v>0.13563797628852628</v>
      </c>
      <c r="AK43">
        <v>839256</v>
      </c>
      <c r="AL43">
        <v>0</v>
      </c>
      <c r="AM43">
        <v>60.386885680903788</v>
      </c>
      <c r="AN43">
        <v>1.3076698430218019E-3</v>
      </c>
      <c r="AP43">
        <v>0.13523042617674361</v>
      </c>
      <c r="AQ43">
        <v>839256</v>
      </c>
      <c r="AR43">
        <v>0</v>
      </c>
      <c r="AS43">
        <v>30.193442840451894</v>
      </c>
      <c r="AT43">
        <v>5.4674494495965333E-4</v>
      </c>
      <c r="AV43">
        <v>0.13523042617674361</v>
      </c>
      <c r="AW43">
        <v>839256</v>
      </c>
      <c r="AX43">
        <v>0</v>
      </c>
      <c r="AY43">
        <v>60.18016438356166</v>
      </c>
      <c r="AZ43">
        <v>1.2826395358716438E-3</v>
      </c>
      <c r="BB43">
        <v>0.13563797628852628</v>
      </c>
      <c r="BC43">
        <v>839256</v>
      </c>
      <c r="BD43">
        <v>0</v>
      </c>
      <c r="BE43">
        <v>30.09008219178083</v>
      </c>
      <c r="BF43">
        <v>5.2590328215500616E-4</v>
      </c>
      <c r="BH43">
        <v>0.13563797628852628</v>
      </c>
      <c r="BI43">
        <v>839256</v>
      </c>
      <c r="BJ43">
        <v>0</v>
      </c>
      <c r="BK43">
        <v>60.179702813586829</v>
      </c>
      <c r="BL43">
        <v>1.2874316022074882E-3</v>
      </c>
      <c r="BN43">
        <v>0.13560812027046279</v>
      </c>
      <c r="BO43">
        <v>839256</v>
      </c>
      <c r="BP43">
        <v>0</v>
      </c>
      <c r="BQ43">
        <v>30.089851406793414</v>
      </c>
      <c r="BR43">
        <v>5.3564488485613557E-4</v>
      </c>
      <c r="BT43">
        <v>0.13560812027046279</v>
      </c>
      <c r="BU43">
        <v>839256</v>
      </c>
      <c r="BV43">
        <v>0</v>
      </c>
      <c r="BW43">
        <v>60.34689840010185</v>
      </c>
      <c r="BX43">
        <v>1.2997673523035571E-3</v>
      </c>
      <c r="BZ43">
        <v>0.13534215000814676</v>
      </c>
      <c r="CA43">
        <v>839256</v>
      </c>
      <c r="CB43">
        <v>0</v>
      </c>
      <c r="CC43">
        <v>30.173449200050925</v>
      </c>
      <c r="CD43">
        <v>5.3822531171493417E-4</v>
      </c>
      <c r="CF43">
        <v>0.13534215000814676</v>
      </c>
      <c r="CG43">
        <v>839256</v>
      </c>
      <c r="CH43">
        <v>2</v>
      </c>
      <c r="CI43">
        <v>0</v>
      </c>
      <c r="CJ43">
        <v>0</v>
      </c>
      <c r="CK43">
        <v>61.468278042453406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839256</v>
      </c>
      <c r="DC43">
        <v>1</v>
      </c>
      <c r="DD43">
        <v>0</v>
      </c>
      <c r="DE43">
        <v>0</v>
      </c>
      <c r="DF43">
        <v>30.734139021226703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</row>
    <row r="44" spans="1:126">
      <c r="A44">
        <v>839272</v>
      </c>
      <c r="B44">
        <v>0.13148393501683397</v>
      </c>
      <c r="C44">
        <v>592.30737714000645</v>
      </c>
      <c r="D44">
        <v>1.2689491122822942E-2</v>
      </c>
      <c r="F44">
        <v>6.1985373968223831E-2</v>
      </c>
      <c r="G44">
        <v>839272</v>
      </c>
      <c r="H44">
        <v>6.5741967508416987E-2</v>
      </c>
      <c r="I44">
        <v>296.15368857000323</v>
      </c>
      <c r="J44">
        <v>5.255424626810108E-3</v>
      </c>
      <c r="L44">
        <v>6.1985373968223831E-2</v>
      </c>
      <c r="M44">
        <v>839272</v>
      </c>
      <c r="N44">
        <v>1.1336757158387778</v>
      </c>
      <c r="O44">
        <v>592.57935868182381</v>
      </c>
      <c r="P44">
        <v>1.2887202789826972E-2</v>
      </c>
      <c r="R44">
        <v>6.1296887712915318E-2</v>
      </c>
      <c r="S44">
        <v>839272</v>
      </c>
      <c r="T44">
        <v>0.5668378579193889</v>
      </c>
      <c r="U44">
        <v>296.2896793409119</v>
      </c>
      <c r="V44">
        <v>5.4562303987056313E-3</v>
      </c>
      <c r="X44">
        <v>6.1296887712915318E-2</v>
      </c>
      <c r="Y44">
        <v>839272</v>
      </c>
      <c r="Z44">
        <v>5.0109589041018587E-2</v>
      </c>
      <c r="AA44">
        <v>592.31150684931231</v>
      </c>
      <c r="AB44">
        <v>1.2592994724126975E-2</v>
      </c>
      <c r="AD44">
        <v>6.2270504847930529E-2</v>
      </c>
      <c r="AE44">
        <v>839272</v>
      </c>
      <c r="AF44">
        <v>2.5054794520509294E-2</v>
      </c>
      <c r="AG44">
        <v>296.15575342465615</v>
      </c>
      <c r="AH44">
        <v>5.1200814879266993E-3</v>
      </c>
      <c r="AJ44">
        <v>6.2270504847930529E-2</v>
      </c>
      <c r="AK44">
        <v>839272</v>
      </c>
      <c r="AL44">
        <v>1.6143642785050982</v>
      </c>
      <c r="AM44">
        <v>592.76404553257794</v>
      </c>
      <c r="AN44">
        <v>1.2836225243781328E-2</v>
      </c>
      <c r="AP44">
        <v>6.1412127056424348E-2</v>
      </c>
      <c r="AQ44">
        <v>839272</v>
      </c>
      <c r="AR44">
        <v>0.80718213925254911</v>
      </c>
      <c r="AS44">
        <v>296.38202276628897</v>
      </c>
      <c r="AT44">
        <v>5.3669061054304103E-3</v>
      </c>
      <c r="AV44">
        <v>6.1412127056424348E-2</v>
      </c>
      <c r="AW44">
        <v>839272</v>
      </c>
      <c r="AX44">
        <v>5.0109589041018587E-2</v>
      </c>
      <c r="AY44">
        <v>592.30824755615311</v>
      </c>
      <c r="AZ44">
        <v>1.2624059497349753E-2</v>
      </c>
      <c r="BB44">
        <v>6.2242040303765241E-2</v>
      </c>
      <c r="BC44">
        <v>839272</v>
      </c>
      <c r="BD44">
        <v>2.5054794520509294E-2</v>
      </c>
      <c r="BE44">
        <v>296.15412377807655</v>
      </c>
      <c r="BF44">
        <v>5.1760717942197386E-3</v>
      </c>
      <c r="BH44">
        <v>6.2242040303765241E-2</v>
      </c>
      <c r="BI44">
        <v>839272</v>
      </c>
      <c r="BJ44">
        <v>5.0109589041018587E-2</v>
      </c>
      <c r="BK44">
        <v>592.29035580293612</v>
      </c>
      <c r="BL44">
        <v>1.2670938640316107E-2</v>
      </c>
      <c r="BN44">
        <v>6.2087098349910393E-2</v>
      </c>
      <c r="BO44">
        <v>839272</v>
      </c>
      <c r="BP44">
        <v>2.5054794520509294E-2</v>
      </c>
      <c r="BQ44">
        <v>296.14517790146806</v>
      </c>
      <c r="BR44">
        <v>5.2718322723892845E-3</v>
      </c>
      <c r="BT44">
        <v>6.2087098349910393E-2</v>
      </c>
      <c r="BU44">
        <v>839272</v>
      </c>
      <c r="BV44">
        <v>1.3116660114839451</v>
      </c>
      <c r="BW44">
        <v>592.68742872872622</v>
      </c>
      <c r="BX44">
        <v>1.2765457553010538E-2</v>
      </c>
      <c r="BZ44">
        <v>6.1661460886155643E-2</v>
      </c>
      <c r="CA44">
        <v>839272</v>
      </c>
      <c r="CB44">
        <v>0.65583300574197256</v>
      </c>
      <c r="CC44">
        <v>296.34371436436311</v>
      </c>
      <c r="CD44">
        <v>5.286093975568811E-3</v>
      </c>
      <c r="CF44">
        <v>6.1661460886155643E-2</v>
      </c>
      <c r="CG44">
        <v>839272</v>
      </c>
      <c r="CH44">
        <v>2</v>
      </c>
      <c r="CI44">
        <v>0</v>
      </c>
      <c r="CJ44">
        <v>617.73214803715553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839272</v>
      </c>
      <c r="DC44">
        <v>1</v>
      </c>
      <c r="DD44">
        <v>0</v>
      </c>
      <c r="DE44">
        <v>308.86607401857776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</row>
    <row r="45" spans="1:126">
      <c r="A45">
        <v>839274</v>
      </c>
      <c r="B45">
        <v>0</v>
      </c>
      <c r="C45">
        <v>271.23727077559607</v>
      </c>
      <c r="D45">
        <v>5.8109405226470442E-3</v>
      </c>
      <c r="F45">
        <v>0.17615842820720098</v>
      </c>
      <c r="G45">
        <v>839274</v>
      </c>
      <c r="H45">
        <v>0</v>
      </c>
      <c r="I45">
        <v>135.61863538779804</v>
      </c>
      <c r="J45">
        <v>2.4066339329180514E-3</v>
      </c>
      <c r="L45">
        <v>0.17615842820720098</v>
      </c>
      <c r="M45">
        <v>839274</v>
      </c>
      <c r="N45">
        <v>0</v>
      </c>
      <c r="O45">
        <v>271.61474055639178</v>
      </c>
      <c r="P45">
        <v>5.9069796998040928E-3</v>
      </c>
      <c r="R45">
        <v>0.17514361142017984</v>
      </c>
      <c r="S45">
        <v>839274</v>
      </c>
      <c r="T45">
        <v>0</v>
      </c>
      <c r="U45">
        <v>135.80737027819589</v>
      </c>
      <c r="V45">
        <v>2.5009183705908679E-3</v>
      </c>
      <c r="X45">
        <v>0.17514361142017984</v>
      </c>
      <c r="Y45">
        <v>839274</v>
      </c>
      <c r="Z45">
        <v>0</v>
      </c>
      <c r="AA45">
        <v>271.2153698630139</v>
      </c>
      <c r="AB45">
        <v>5.7662457715108731E-3</v>
      </c>
      <c r="AD45">
        <v>0.17666446390929755</v>
      </c>
      <c r="AE45">
        <v>839274</v>
      </c>
      <c r="AF45">
        <v>0</v>
      </c>
      <c r="AG45">
        <v>135.60768493150695</v>
      </c>
      <c r="AH45">
        <v>2.3444501388525112E-3</v>
      </c>
      <c r="AJ45">
        <v>0.17666446390929755</v>
      </c>
      <c r="AK45">
        <v>839274</v>
      </c>
      <c r="AL45">
        <v>0</v>
      </c>
      <c r="AM45">
        <v>271.81319259795589</v>
      </c>
      <c r="AN45">
        <v>5.8860779271520799E-3</v>
      </c>
      <c r="AP45">
        <v>0.17537310974789566</v>
      </c>
      <c r="AQ45">
        <v>839274</v>
      </c>
      <c r="AR45">
        <v>0</v>
      </c>
      <c r="AS45">
        <v>135.90659629897795</v>
      </c>
      <c r="AT45">
        <v>2.4610060172928065E-3</v>
      </c>
      <c r="AV45">
        <v>0.17537310974789566</v>
      </c>
      <c r="AW45">
        <v>839274</v>
      </c>
      <c r="AX45">
        <v>0</v>
      </c>
      <c r="AY45">
        <v>271.21080922027033</v>
      </c>
      <c r="AZ45">
        <v>5.7804047234653409E-3</v>
      </c>
      <c r="BB45">
        <v>0.17656551532706677</v>
      </c>
      <c r="BC45">
        <v>839274</v>
      </c>
      <c r="BD45">
        <v>0</v>
      </c>
      <c r="BE45">
        <v>135.60540461013517</v>
      </c>
      <c r="BF45">
        <v>2.3700609027218814E-3</v>
      </c>
      <c r="BH45">
        <v>0.17656551532706677</v>
      </c>
      <c r="BI45">
        <v>839274</v>
      </c>
      <c r="BJ45">
        <v>0</v>
      </c>
      <c r="BK45">
        <v>271.19609208640964</v>
      </c>
      <c r="BL45">
        <v>5.8017305341093962E-3</v>
      </c>
      <c r="BN45">
        <v>0.17625088430106342</v>
      </c>
      <c r="BO45">
        <v>839274</v>
      </c>
      <c r="BP45">
        <v>0</v>
      </c>
      <c r="BQ45">
        <v>135.59804604320482</v>
      </c>
      <c r="BR45">
        <v>2.4138503968527784E-3</v>
      </c>
      <c r="BT45">
        <v>0.17625088430106342</v>
      </c>
      <c r="BU45">
        <v>839274</v>
      </c>
      <c r="BV45">
        <v>0</v>
      </c>
      <c r="BW45">
        <v>271.70178070234903</v>
      </c>
      <c r="BX45">
        <v>5.8519843352721149E-3</v>
      </c>
      <c r="BZ45">
        <v>0.17575103885696852</v>
      </c>
      <c r="CA45">
        <v>839274</v>
      </c>
      <c r="CB45">
        <v>0</v>
      </c>
      <c r="CC45">
        <v>135.85089035117451</v>
      </c>
      <c r="CD45">
        <v>2.4232691238325129E-3</v>
      </c>
      <c r="CF45">
        <v>0.17575103885696852</v>
      </c>
      <c r="CG45">
        <v>839274</v>
      </c>
      <c r="CH45">
        <v>2</v>
      </c>
      <c r="CI45">
        <v>0</v>
      </c>
      <c r="CJ45">
        <v>0</v>
      </c>
      <c r="CK45">
        <v>286.87206014518654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839274</v>
      </c>
      <c r="DC45">
        <v>1</v>
      </c>
      <c r="DD45">
        <v>0</v>
      </c>
      <c r="DE45">
        <v>0</v>
      </c>
      <c r="DF45">
        <v>143.43603007259327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</row>
    <row r="46" spans="1:126">
      <c r="A46">
        <v>843845</v>
      </c>
      <c r="B46">
        <v>0</v>
      </c>
      <c r="C46">
        <v>701.66884803817402</v>
      </c>
      <c r="D46">
        <v>1.5032432419353729E-2</v>
      </c>
      <c r="F46">
        <v>0.36859466415110076</v>
      </c>
      <c r="G46">
        <v>841627</v>
      </c>
      <c r="H46">
        <v>0</v>
      </c>
      <c r="I46">
        <v>436.11681005769731</v>
      </c>
      <c r="J46">
        <v>7.7391540683151849E-3</v>
      </c>
      <c r="L46">
        <v>1.809248336461426</v>
      </c>
      <c r="M46">
        <v>843845</v>
      </c>
      <c r="N46">
        <v>0</v>
      </c>
      <c r="O46">
        <v>703.46246254152015</v>
      </c>
      <c r="P46">
        <v>1.529864865689879E-2</v>
      </c>
      <c r="R46">
        <v>0.36849181220108651</v>
      </c>
      <c r="S46">
        <v>841627</v>
      </c>
      <c r="T46">
        <v>0</v>
      </c>
      <c r="U46">
        <v>420.8933608351694</v>
      </c>
      <c r="V46">
        <v>7.7508307245487251E-3</v>
      </c>
      <c r="X46">
        <v>1.7444988704239686</v>
      </c>
      <c r="Y46">
        <v>843845</v>
      </c>
      <c r="Z46">
        <v>0</v>
      </c>
      <c r="AA46">
        <v>701.39999999999986</v>
      </c>
      <c r="AB46">
        <v>1.4912299351546717E-2</v>
      </c>
      <c r="AD46">
        <v>0.36862303166435606</v>
      </c>
      <c r="AE46">
        <v>841627</v>
      </c>
      <c r="AF46">
        <v>0</v>
      </c>
      <c r="AG46">
        <v>440</v>
      </c>
      <c r="AH46">
        <v>7.6069292209812941E-3</v>
      </c>
      <c r="AJ46">
        <v>1.8257783312577833</v>
      </c>
      <c r="AK46">
        <v>843845</v>
      </c>
      <c r="AL46">
        <v>0</v>
      </c>
      <c r="AM46">
        <v>704.12677935762497</v>
      </c>
      <c r="AN46">
        <v>1.5247770184664566E-2</v>
      </c>
      <c r="AP46">
        <v>0.36848633040147749</v>
      </c>
      <c r="AQ46">
        <v>841627</v>
      </c>
      <c r="AR46">
        <v>0</v>
      </c>
      <c r="AS46">
        <v>421.64244302628236</v>
      </c>
      <c r="AT46">
        <v>7.6351304328966096E-3</v>
      </c>
      <c r="AV46">
        <v>1.7476828839022436</v>
      </c>
      <c r="AW46">
        <v>843845</v>
      </c>
      <c r="AX46">
        <v>0</v>
      </c>
      <c r="AY46">
        <v>701.39999999999986</v>
      </c>
      <c r="AZ46">
        <v>1.4949167714571918E-2</v>
      </c>
      <c r="BB46">
        <v>0.36862303166435606</v>
      </c>
      <c r="BC46">
        <v>841627</v>
      </c>
      <c r="BD46">
        <v>0</v>
      </c>
      <c r="BE46">
        <v>440</v>
      </c>
      <c r="BF46">
        <v>7.6901565995525726E-3</v>
      </c>
      <c r="BH46">
        <v>1.8257783312577833</v>
      </c>
      <c r="BI46">
        <v>843845</v>
      </c>
      <c r="BJ46">
        <v>0</v>
      </c>
      <c r="BK46">
        <v>701.39999999999986</v>
      </c>
      <c r="BL46">
        <v>1.5005134348793425E-2</v>
      </c>
      <c r="BN46">
        <v>0.36862303166435606</v>
      </c>
      <c r="BO46">
        <v>841627</v>
      </c>
      <c r="BP46">
        <v>0</v>
      </c>
      <c r="BQ46">
        <v>440</v>
      </c>
      <c r="BR46">
        <v>7.8326657765910111E-3</v>
      </c>
      <c r="BT46">
        <v>1.8257783312577833</v>
      </c>
      <c r="BU46">
        <v>843845</v>
      </c>
      <c r="BV46">
        <v>0</v>
      </c>
      <c r="BW46">
        <v>703.57182236557446</v>
      </c>
      <c r="BX46">
        <v>1.5153714755122326E-2</v>
      </c>
      <c r="BZ46">
        <v>0.36852047103714858</v>
      </c>
      <c r="CA46">
        <v>841627</v>
      </c>
      <c r="CB46">
        <v>0</v>
      </c>
      <c r="CC46">
        <v>426.94389075556467</v>
      </c>
      <c r="CD46">
        <v>7.6157023734069081E-3</v>
      </c>
      <c r="CF46">
        <v>1.7702230376306198</v>
      </c>
      <c r="CG46">
        <v>843845</v>
      </c>
      <c r="CH46">
        <v>2</v>
      </c>
      <c r="CI46">
        <v>0</v>
      </c>
      <c r="CJ46">
        <v>0</v>
      </c>
      <c r="CK46">
        <v>0</v>
      </c>
      <c r="CL46">
        <v>708.02135014647513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841627</v>
      </c>
      <c r="DC46">
        <v>1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20.000000000000018</v>
      </c>
      <c r="DJ46">
        <v>0</v>
      </c>
      <c r="DK46">
        <v>420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</row>
    <row r="47" spans="1:126">
      <c r="A47">
        <v>849949</v>
      </c>
      <c r="B47">
        <v>0</v>
      </c>
      <c r="C47">
        <v>55.490183837399563</v>
      </c>
      <c r="D47">
        <v>1.1888121309724183E-3</v>
      </c>
      <c r="F47">
        <v>2.2802425436282427</v>
      </c>
      <c r="G47">
        <v>841641</v>
      </c>
      <c r="H47">
        <v>0</v>
      </c>
      <c r="I47">
        <v>50.105391996371665</v>
      </c>
      <c r="J47">
        <v>8.8915019868632283E-4</v>
      </c>
      <c r="L47">
        <v>0.19625112096970512</v>
      </c>
      <c r="M47">
        <v>849949</v>
      </c>
      <c r="N47">
        <v>0</v>
      </c>
      <c r="O47">
        <v>53.073117852931894</v>
      </c>
      <c r="P47">
        <v>1.154215080964984E-3</v>
      </c>
      <c r="R47">
        <v>2.1753137030714655</v>
      </c>
      <c r="S47">
        <v>841641</v>
      </c>
      <c r="T47">
        <v>0</v>
      </c>
      <c r="U47">
        <v>50.155134898981856</v>
      </c>
      <c r="V47">
        <v>9.2361628084971104E-4</v>
      </c>
      <c r="X47">
        <v>0.19614698974818359</v>
      </c>
      <c r="Y47">
        <v>849949</v>
      </c>
      <c r="Z47">
        <v>0</v>
      </c>
      <c r="AA47">
        <v>56.253424657534211</v>
      </c>
      <c r="AB47">
        <v>1.1959907442868972E-3</v>
      </c>
      <c r="AD47">
        <v>2.3134315960830594</v>
      </c>
      <c r="AE47">
        <v>841641</v>
      </c>
      <c r="AF47">
        <v>0</v>
      </c>
      <c r="AG47">
        <v>50.100136986301393</v>
      </c>
      <c r="AH47">
        <v>8.6615499094604945E-4</v>
      </c>
      <c r="AJ47">
        <v>0.19627938986509716</v>
      </c>
      <c r="AK47">
        <v>849949</v>
      </c>
      <c r="AL47">
        <v>0</v>
      </c>
      <c r="AM47">
        <v>53.455941005431548</v>
      </c>
      <c r="AN47">
        <v>1.1575811733781924E-3</v>
      </c>
      <c r="AP47">
        <v>2.1919144930239995</v>
      </c>
      <c r="AQ47">
        <v>841641</v>
      </c>
      <c r="AR47">
        <v>0</v>
      </c>
      <c r="AS47">
        <v>50.177076730557594</v>
      </c>
      <c r="AT47">
        <v>9.0860996542368522E-4</v>
      </c>
      <c r="AV47">
        <v>0.19613961732445767</v>
      </c>
      <c r="AW47">
        <v>849949</v>
      </c>
      <c r="AX47">
        <v>0</v>
      </c>
      <c r="AY47">
        <v>56.253424657534211</v>
      </c>
      <c r="AZ47">
        <v>1.1989476471692536E-3</v>
      </c>
      <c r="BB47">
        <v>2.3134315960830594</v>
      </c>
      <c r="BC47">
        <v>841641</v>
      </c>
      <c r="BD47">
        <v>0</v>
      </c>
      <c r="BE47">
        <v>50.100136986301393</v>
      </c>
      <c r="BF47">
        <v>8.7563158882657634E-4</v>
      </c>
      <c r="BH47">
        <v>0.19627938986509716</v>
      </c>
      <c r="BI47">
        <v>849949</v>
      </c>
      <c r="BJ47">
        <v>0</v>
      </c>
      <c r="BK47">
        <v>55.955079344647075</v>
      </c>
      <c r="BL47">
        <v>1.1970537254973274E-3</v>
      </c>
      <c r="BN47">
        <v>2.3004551342714601</v>
      </c>
      <c r="BO47">
        <v>841641</v>
      </c>
      <c r="BP47">
        <v>0</v>
      </c>
      <c r="BQ47">
        <v>50.100136986301393</v>
      </c>
      <c r="BR47">
        <v>8.9185824630710095E-4</v>
      </c>
      <c r="BT47">
        <v>0.19627938986509716</v>
      </c>
      <c r="BU47">
        <v>849949</v>
      </c>
      <c r="BV47">
        <v>0</v>
      </c>
      <c r="BW47">
        <v>54.32958517614518</v>
      </c>
      <c r="BX47">
        <v>1.1701648791950113E-3</v>
      </c>
      <c r="BZ47">
        <v>2.2298251919835019</v>
      </c>
      <c r="CA47">
        <v>841641</v>
      </c>
      <c r="CB47">
        <v>0</v>
      </c>
      <c r="CC47">
        <v>50.161954845725504</v>
      </c>
      <c r="CD47">
        <v>8.9477452856220017E-4</v>
      </c>
      <c r="CF47">
        <v>0.19617404458506266</v>
      </c>
      <c r="CG47">
        <v>849949</v>
      </c>
      <c r="CH47">
        <v>2</v>
      </c>
      <c r="CI47">
        <v>0</v>
      </c>
      <c r="CJ47">
        <v>0</v>
      </c>
      <c r="CK47">
        <v>0</v>
      </c>
      <c r="CL47">
        <v>1.24657534246575</v>
      </c>
      <c r="CM47">
        <v>0</v>
      </c>
      <c r="CN47">
        <v>1.2534246575342411</v>
      </c>
      <c r="CO47">
        <v>1.24657534246575</v>
      </c>
      <c r="CP47">
        <v>1.2534246575342411</v>
      </c>
      <c r="CQ47">
        <v>51.253424657534239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841641</v>
      </c>
      <c r="DC47">
        <v>1</v>
      </c>
      <c r="DD47">
        <v>0</v>
      </c>
      <c r="DE47">
        <v>0</v>
      </c>
      <c r="DF47">
        <v>50.566900115295155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</row>
    <row r="48" spans="1:126">
      <c r="A48">
        <v>849952</v>
      </c>
      <c r="B48">
        <v>0</v>
      </c>
      <c r="C48">
        <v>254.34856661283888</v>
      </c>
      <c r="D48">
        <v>5.4491198365970153E-3</v>
      </c>
      <c r="F48">
        <v>3.7984745597317819</v>
      </c>
      <c r="G48">
        <v>841645</v>
      </c>
      <c r="H48">
        <v>0</v>
      </c>
      <c r="I48">
        <v>251.05256314730826</v>
      </c>
      <c r="J48">
        <v>4.4550781364868725E-3</v>
      </c>
      <c r="L48">
        <v>0.42034602895251144</v>
      </c>
      <c r="M48">
        <v>849952</v>
      </c>
      <c r="N48">
        <v>0</v>
      </c>
      <c r="O48">
        <v>236.5001093454496</v>
      </c>
      <c r="P48">
        <v>5.1433193281164285E-3</v>
      </c>
      <c r="R48">
        <v>3.498470472462015</v>
      </c>
      <c r="S48">
        <v>841645</v>
      </c>
      <c r="T48">
        <v>0</v>
      </c>
      <c r="U48">
        <v>251.43333745935752</v>
      </c>
      <c r="V48">
        <v>4.6301923919370479E-3</v>
      </c>
      <c r="X48">
        <v>0.41959010921808959</v>
      </c>
      <c r="Y48">
        <v>849952</v>
      </c>
      <c r="Z48">
        <v>0</v>
      </c>
      <c r="AA48">
        <v>267.52931506849319</v>
      </c>
      <c r="AB48">
        <v>5.6878774331560154E-3</v>
      </c>
      <c r="AD48">
        <v>4.0215233309803233</v>
      </c>
      <c r="AE48">
        <v>841645</v>
      </c>
      <c r="AF48">
        <v>0</v>
      </c>
      <c r="AG48">
        <v>251.00068493150675</v>
      </c>
      <c r="AH48">
        <v>4.3394191924813587E-3</v>
      </c>
      <c r="AJ48">
        <v>0.42068711043762375</v>
      </c>
      <c r="AK48">
        <v>849952</v>
      </c>
      <c r="AL48">
        <v>0</v>
      </c>
      <c r="AM48">
        <v>244.42520653269943</v>
      </c>
      <c r="AN48">
        <v>5.2929947927131257E-3</v>
      </c>
      <c r="AP48">
        <v>3.6313784820200516</v>
      </c>
      <c r="AQ48">
        <v>841645</v>
      </c>
      <c r="AR48">
        <v>0</v>
      </c>
      <c r="AS48">
        <v>251.58793627129057</v>
      </c>
      <c r="AT48">
        <v>4.5557716983791567E-3</v>
      </c>
      <c r="AV48">
        <v>0.41974236311536667</v>
      </c>
      <c r="AW48">
        <v>849952</v>
      </c>
      <c r="AX48">
        <v>0</v>
      </c>
      <c r="AY48">
        <v>262.54726375113097</v>
      </c>
      <c r="AZ48">
        <v>5.5957557439657917E-3</v>
      </c>
      <c r="BB48">
        <v>3.9370720368370833</v>
      </c>
      <c r="BC48">
        <v>841645</v>
      </c>
      <c r="BD48">
        <v>0</v>
      </c>
      <c r="BE48">
        <v>250.99846898792092</v>
      </c>
      <c r="BF48">
        <v>4.3868580290114811E-3</v>
      </c>
      <c r="BH48">
        <v>0.42064093701485672</v>
      </c>
      <c r="BI48">
        <v>849952</v>
      </c>
      <c r="BJ48">
        <v>0</v>
      </c>
      <c r="BK48">
        <v>252.57198587703934</v>
      </c>
      <c r="BL48">
        <v>5.4033027955895799E-3</v>
      </c>
      <c r="BN48">
        <v>3.7685055907459017</v>
      </c>
      <c r="BO48">
        <v>841645</v>
      </c>
      <c r="BP48">
        <v>0</v>
      </c>
      <c r="BQ48">
        <v>250.98883030023376</v>
      </c>
      <c r="BR48">
        <v>4.467980957725568E-3</v>
      </c>
      <c r="BT48">
        <v>0.42044232959413919</v>
      </c>
      <c r="BU48">
        <v>849952</v>
      </c>
      <c r="BV48">
        <v>0</v>
      </c>
      <c r="BW48">
        <v>251.68805819131589</v>
      </c>
      <c r="BX48">
        <v>5.4209235217496802E-3</v>
      </c>
      <c r="BZ48">
        <v>3.7536033223088614</v>
      </c>
      <c r="CA48">
        <v>841645</v>
      </c>
      <c r="CB48">
        <v>0</v>
      </c>
      <c r="CC48">
        <v>251.47177963078514</v>
      </c>
      <c r="CD48">
        <v>4.4856813048426737E-3</v>
      </c>
      <c r="CF48">
        <v>0.42001999319553862</v>
      </c>
      <c r="CG48">
        <v>849952</v>
      </c>
      <c r="CH48">
        <v>2</v>
      </c>
      <c r="CI48">
        <v>0</v>
      </c>
      <c r="CJ48">
        <v>0</v>
      </c>
      <c r="CK48">
        <v>0</v>
      </c>
      <c r="CL48">
        <v>10.70000000000001</v>
      </c>
      <c r="CM48">
        <v>0</v>
      </c>
      <c r="CN48">
        <v>0</v>
      </c>
      <c r="CO48">
        <v>10.70000000000001</v>
      </c>
      <c r="CP48">
        <v>0</v>
      </c>
      <c r="CQ48">
        <v>10.729315068493152</v>
      </c>
      <c r="CR48">
        <v>10.70000000000001</v>
      </c>
      <c r="CS48">
        <v>224.70000000000002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841645</v>
      </c>
      <c r="DC48">
        <v>1</v>
      </c>
      <c r="DD48">
        <v>0</v>
      </c>
      <c r="DE48">
        <v>0</v>
      </c>
      <c r="DF48">
        <v>0</v>
      </c>
      <c r="DG48">
        <v>262.05943375596053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</row>
    <row r="49" spans="1:126">
      <c r="A49">
        <v>850057</v>
      </c>
      <c r="B49">
        <v>0.76382134454804351</v>
      </c>
      <c r="C49">
        <v>950.69319940013793</v>
      </c>
      <c r="D49">
        <v>2.0367487186411678E-2</v>
      </c>
      <c r="F49">
        <v>4.6575342465753428E-2</v>
      </c>
      <c r="G49">
        <v>841646</v>
      </c>
      <c r="H49">
        <v>0</v>
      </c>
      <c r="I49">
        <v>100.67821806011703</v>
      </c>
      <c r="J49">
        <v>1.7865952949339338E-3</v>
      </c>
      <c r="L49">
        <v>0.42845603192336645</v>
      </c>
      <c r="M49">
        <v>850057</v>
      </c>
      <c r="N49">
        <v>10.341903536328767</v>
      </c>
      <c r="O49">
        <v>959.37697030182505</v>
      </c>
      <c r="P49">
        <v>2.0864185339955311E-2</v>
      </c>
      <c r="R49">
        <v>4.6575342465753428E-2</v>
      </c>
      <c r="S49">
        <v>841646</v>
      </c>
      <c r="T49">
        <v>0</v>
      </c>
      <c r="U49">
        <v>101.80572944297391</v>
      </c>
      <c r="V49">
        <v>1.8747717334764915E-3</v>
      </c>
      <c r="X49">
        <v>0.42719062393989082</v>
      </c>
      <c r="Y49">
        <v>850057</v>
      </c>
      <c r="Z49">
        <v>0</v>
      </c>
      <c r="AA49">
        <v>950</v>
      </c>
      <c r="AB49">
        <v>2.0197725098331031E-2</v>
      </c>
      <c r="AD49">
        <v>4.6575342465753428E-2</v>
      </c>
      <c r="AE49">
        <v>841646</v>
      </c>
      <c r="AF49">
        <v>0</v>
      </c>
      <c r="AG49">
        <v>100.50027397260273</v>
      </c>
      <c r="AH49">
        <v>1.7374965245427669E-3</v>
      </c>
      <c r="AJ49">
        <v>0.42914194173207337</v>
      </c>
      <c r="AK49">
        <v>850057</v>
      </c>
      <c r="AL49">
        <v>14.965059119037715</v>
      </c>
      <c r="AM49">
        <v>963.56267850331756</v>
      </c>
      <c r="AN49">
        <v>2.086581949594659E-2</v>
      </c>
      <c r="AP49">
        <v>4.6575342465753428E-2</v>
      </c>
      <c r="AQ49">
        <v>841646</v>
      </c>
      <c r="AR49">
        <v>0</v>
      </c>
      <c r="AS49">
        <v>102.21056746946499</v>
      </c>
      <c r="AT49">
        <v>1.8508360037205742E-3</v>
      </c>
      <c r="AV49">
        <v>0.42748964824993363</v>
      </c>
      <c r="AW49">
        <v>850057</v>
      </c>
      <c r="AX49">
        <v>0</v>
      </c>
      <c r="AY49">
        <v>950</v>
      </c>
      <c r="AZ49">
        <v>2.024766086233722E-2</v>
      </c>
      <c r="BB49">
        <v>4.6575342465753428E-2</v>
      </c>
      <c r="BC49">
        <v>841646</v>
      </c>
      <c r="BD49">
        <v>0</v>
      </c>
      <c r="BE49">
        <v>100.49756899171118</v>
      </c>
      <c r="BF49">
        <v>1.7564591895922676E-3</v>
      </c>
      <c r="BH49">
        <v>0.42897408937806314</v>
      </c>
      <c r="BI49">
        <v>850057</v>
      </c>
      <c r="BJ49">
        <v>0</v>
      </c>
      <c r="BK49">
        <v>950.00000000000011</v>
      </c>
      <c r="BL49">
        <v>2.0323463973985968E-2</v>
      </c>
      <c r="BN49">
        <v>4.6575342465753428E-2</v>
      </c>
      <c r="BO49">
        <v>841646</v>
      </c>
      <c r="BP49">
        <v>0</v>
      </c>
      <c r="BQ49">
        <v>100.4903252846624</v>
      </c>
      <c r="BR49">
        <v>1.7888798448538034E-3</v>
      </c>
      <c r="BT49">
        <v>0.42853331756899404</v>
      </c>
      <c r="BU49">
        <v>850057</v>
      </c>
      <c r="BV49">
        <v>12.075045910185178</v>
      </c>
      <c r="BW49">
        <v>960.94656161139926</v>
      </c>
      <c r="BX49">
        <v>2.0697119507450068E-2</v>
      </c>
      <c r="BZ49">
        <v>4.6575342465753428E-2</v>
      </c>
      <c r="CA49">
        <v>841646</v>
      </c>
      <c r="CB49">
        <v>0</v>
      </c>
      <c r="CC49">
        <v>101.86110551571358</v>
      </c>
      <c r="CD49">
        <v>1.8169691142811148E-3</v>
      </c>
      <c r="CF49">
        <v>0.42796302633445332</v>
      </c>
      <c r="CG49">
        <v>850057</v>
      </c>
      <c r="CH49">
        <v>2</v>
      </c>
      <c r="CI49">
        <v>0</v>
      </c>
      <c r="CJ49">
        <v>0.76382134454804351</v>
      </c>
      <c r="CK49">
        <v>0</v>
      </c>
      <c r="CL49">
        <v>972.80516146505067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841646</v>
      </c>
      <c r="DC49">
        <v>1</v>
      </c>
      <c r="DD49">
        <v>0</v>
      </c>
      <c r="DE49">
        <v>0</v>
      </c>
      <c r="DF49">
        <v>0</v>
      </c>
      <c r="DG49">
        <v>0.42589540899999889</v>
      </c>
      <c r="DH49">
        <v>0</v>
      </c>
      <c r="DI49">
        <v>106.08521129839409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</row>
    <row r="50" spans="1:126">
      <c r="A50">
        <v>863811</v>
      </c>
      <c r="B50">
        <v>0</v>
      </c>
      <c r="C50">
        <v>116.60660852593819</v>
      </c>
      <c r="D50">
        <v>2.4981598758690186E-3</v>
      </c>
      <c r="F50">
        <v>3.0723442193907156</v>
      </c>
      <c r="G50">
        <v>843166</v>
      </c>
      <c r="H50">
        <v>0</v>
      </c>
      <c r="I50">
        <v>118.91828904582063</v>
      </c>
      <c r="J50">
        <v>2.1102762820453687E-3</v>
      </c>
      <c r="L50">
        <v>3.4426772806070454</v>
      </c>
      <c r="M50">
        <v>863811</v>
      </c>
      <c r="N50">
        <v>0</v>
      </c>
      <c r="O50">
        <v>109.8804709553622</v>
      </c>
      <c r="P50">
        <v>2.3896409672341831E-3</v>
      </c>
      <c r="R50">
        <v>2.8771351542419095</v>
      </c>
      <c r="S50">
        <v>843166</v>
      </c>
      <c r="T50">
        <v>0</v>
      </c>
      <c r="U50">
        <v>111.29246863440615</v>
      </c>
      <c r="V50">
        <v>2.0494718272361773E-3</v>
      </c>
      <c r="X50">
        <v>3.1982303609637448</v>
      </c>
      <c r="Y50">
        <v>863811</v>
      </c>
      <c r="Z50">
        <v>0</v>
      </c>
      <c r="AA50">
        <v>120.01369863013699</v>
      </c>
      <c r="AB50">
        <v>2.5515828347004782E-3</v>
      </c>
      <c r="AD50">
        <v>3.1716039171120141</v>
      </c>
      <c r="AE50">
        <v>843166</v>
      </c>
      <c r="AF50">
        <v>0</v>
      </c>
      <c r="AG50">
        <v>123.61410958904118</v>
      </c>
      <c r="AH50">
        <v>2.1370995053601391E-3</v>
      </c>
      <c r="AJ50">
        <v>3.5939582802464818</v>
      </c>
      <c r="AK50">
        <v>863811</v>
      </c>
      <c r="AL50">
        <v>0</v>
      </c>
      <c r="AM50">
        <v>112.0195324129308</v>
      </c>
      <c r="AN50">
        <v>2.4257678254819464E-3</v>
      </c>
      <c r="AP50">
        <v>2.939105263684898</v>
      </c>
      <c r="AQ50">
        <v>843166</v>
      </c>
      <c r="AR50">
        <v>0</v>
      </c>
      <c r="AS50">
        <v>114.182847505509</v>
      </c>
      <c r="AT50">
        <v>2.0676308761681333E-3</v>
      </c>
      <c r="AV50">
        <v>3.2906970732434244</v>
      </c>
      <c r="AW50">
        <v>863811</v>
      </c>
      <c r="AX50">
        <v>0</v>
      </c>
      <c r="AY50">
        <v>119.47592162861338</v>
      </c>
      <c r="AZ50">
        <v>2.5464294130014145E-3</v>
      </c>
      <c r="BB50">
        <v>3.1559204582739762</v>
      </c>
      <c r="BC50">
        <v>843166</v>
      </c>
      <c r="BD50">
        <v>0</v>
      </c>
      <c r="BE50">
        <v>122.29353919640957</v>
      </c>
      <c r="BF50">
        <v>2.1374010625770687E-3</v>
      </c>
      <c r="BH50">
        <v>3.5513586760802904</v>
      </c>
      <c r="BI50">
        <v>863811</v>
      </c>
      <c r="BJ50">
        <v>0</v>
      </c>
      <c r="BK50">
        <v>116.96344423087118</v>
      </c>
      <c r="BL50">
        <v>2.5022129948415023E-3</v>
      </c>
      <c r="BN50">
        <v>3.0827284372434915</v>
      </c>
      <c r="BO50">
        <v>843166</v>
      </c>
      <c r="BP50">
        <v>0</v>
      </c>
      <c r="BQ50">
        <v>118.76507788574122</v>
      </c>
      <c r="BR50">
        <v>2.1141980932041162E-3</v>
      </c>
      <c r="BT50">
        <v>3.4377508620108679</v>
      </c>
      <c r="BU50">
        <v>863811</v>
      </c>
      <c r="BV50">
        <v>0</v>
      </c>
      <c r="BW50">
        <v>114.60585262664959</v>
      </c>
      <c r="BX50">
        <v>2.4684109635497121E-3</v>
      </c>
      <c r="BZ50">
        <v>3.0141717703703228</v>
      </c>
      <c r="CA50">
        <v>843166</v>
      </c>
      <c r="CB50">
        <v>0</v>
      </c>
      <c r="CC50">
        <v>117.19386086692656</v>
      </c>
      <c r="CD50">
        <v>2.090470395942394E-3</v>
      </c>
      <c r="CF50">
        <v>3.3872644986242171</v>
      </c>
      <c r="CG50">
        <v>863811</v>
      </c>
      <c r="CH50">
        <v>2</v>
      </c>
      <c r="CI50">
        <v>0</v>
      </c>
      <c r="CJ50">
        <v>0</v>
      </c>
      <c r="CK50">
        <v>0</v>
      </c>
      <c r="CL50">
        <v>5.0000000000000044</v>
      </c>
      <c r="CM50">
        <v>0</v>
      </c>
      <c r="CN50">
        <v>0</v>
      </c>
      <c r="CO50">
        <v>5.0000000000000044</v>
      </c>
      <c r="CP50">
        <v>0</v>
      </c>
      <c r="CQ50">
        <v>5.0136986301369868</v>
      </c>
      <c r="CR50">
        <v>105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843166</v>
      </c>
      <c r="DC50">
        <v>1</v>
      </c>
      <c r="DD50">
        <v>0</v>
      </c>
      <c r="DE50">
        <v>0</v>
      </c>
      <c r="DF50">
        <v>1.2698630136986306</v>
      </c>
      <c r="DG50">
        <v>1.2980821917808372</v>
      </c>
      <c r="DH50">
        <v>1.2980821917808372</v>
      </c>
      <c r="DI50">
        <v>1.2839726027397225</v>
      </c>
      <c r="DJ50">
        <v>2.567945205479468</v>
      </c>
      <c r="DK50">
        <v>2.5820547945205599</v>
      </c>
      <c r="DL50">
        <v>5.1641095890411197</v>
      </c>
      <c r="DM50">
        <v>108.15000000000003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</row>
    <row r="51" spans="1:126">
      <c r="A51">
        <v>863814</v>
      </c>
      <c r="B51">
        <v>3.3972602739726909</v>
      </c>
      <c r="C51">
        <v>931.90877373023375</v>
      </c>
      <c r="D51">
        <v>1.9965052889650871E-2</v>
      </c>
      <c r="F51">
        <v>3.7939022507396953</v>
      </c>
      <c r="G51">
        <v>843167</v>
      </c>
      <c r="H51">
        <v>0.43739726027398396</v>
      </c>
      <c r="I51">
        <v>118.49986232449311</v>
      </c>
      <c r="J51">
        <v>2.1028510491995513E-3</v>
      </c>
      <c r="L51">
        <v>3.4416013269625787</v>
      </c>
      <c r="M51">
        <v>863814</v>
      </c>
      <c r="N51">
        <v>3.3972602739726909</v>
      </c>
      <c r="O51">
        <v>866.58667995639644</v>
      </c>
      <c r="P51">
        <v>1.884621547467262E-2</v>
      </c>
      <c r="R51">
        <v>3.4944626039529489</v>
      </c>
      <c r="S51">
        <v>843167</v>
      </c>
      <c r="T51">
        <v>0.43739726027398396</v>
      </c>
      <c r="U51">
        <v>110.90319132382446</v>
      </c>
      <c r="V51">
        <v>2.0423032120476668E-3</v>
      </c>
      <c r="X51">
        <v>3.1972248550450493</v>
      </c>
      <c r="Y51">
        <v>863814</v>
      </c>
      <c r="Z51">
        <v>3.3972602739726909</v>
      </c>
      <c r="AA51">
        <v>980.05479452055067</v>
      </c>
      <c r="AB51">
        <v>2.0836712969502513E-2</v>
      </c>
      <c r="AD51">
        <v>4.0160872742749678</v>
      </c>
      <c r="AE51">
        <v>843167</v>
      </c>
      <c r="AF51">
        <v>0.43739726027398396</v>
      </c>
      <c r="AG51">
        <v>123.17671232876729</v>
      </c>
      <c r="AH51">
        <v>2.1295375735411516E-3</v>
      </c>
      <c r="AJ51">
        <v>3.5928070423299237</v>
      </c>
      <c r="AK51">
        <v>863814</v>
      </c>
      <c r="AL51">
        <v>3.3972602739726909</v>
      </c>
      <c r="AM51">
        <v>895.56321488488493</v>
      </c>
      <c r="AN51">
        <v>1.9393300307171766E-2</v>
      </c>
      <c r="AP51">
        <v>3.6269959424600033</v>
      </c>
      <c r="AQ51">
        <v>843167</v>
      </c>
      <c r="AR51">
        <v>0.43739726027398396</v>
      </c>
      <c r="AS51">
        <v>113.78196598203375</v>
      </c>
      <c r="AT51">
        <v>2.0603716858980472E-3</v>
      </c>
      <c r="AV51">
        <v>3.289646731476052</v>
      </c>
      <c r="AW51">
        <v>863814</v>
      </c>
      <c r="AX51">
        <v>3.3972602739726909</v>
      </c>
      <c r="AY51">
        <v>961.91415187592099</v>
      </c>
      <c r="AZ51">
        <v>2.0501591079859355E-2</v>
      </c>
      <c r="BB51">
        <v>3.9322301022080302</v>
      </c>
      <c r="BC51">
        <v>843167</v>
      </c>
      <c r="BD51">
        <v>0.43739726027398396</v>
      </c>
      <c r="BE51">
        <v>121.86203402434228</v>
      </c>
      <c r="BF51">
        <v>2.1298593754254455E-3</v>
      </c>
      <c r="BH51">
        <v>3.5502465689387144</v>
      </c>
      <c r="BI51">
        <v>863814</v>
      </c>
      <c r="BJ51">
        <v>3.3972602739726909</v>
      </c>
      <c r="BK51">
        <v>925.48827399846277</v>
      </c>
      <c r="BL51">
        <v>1.9799081678899169E-2</v>
      </c>
      <c r="BN51">
        <v>3.7643653301405644</v>
      </c>
      <c r="BO51">
        <v>843167</v>
      </c>
      <c r="BP51">
        <v>0.43739726027398396</v>
      </c>
      <c r="BQ51">
        <v>118.34809140053315</v>
      </c>
      <c r="BR51">
        <v>2.1067751028132293E-3</v>
      </c>
      <c r="BT51">
        <v>3.4367038759246702</v>
      </c>
      <c r="BU51">
        <v>863814</v>
      </c>
      <c r="BV51">
        <v>3.3972602739726909</v>
      </c>
      <c r="BW51">
        <v>922.13691329720257</v>
      </c>
      <c r="BX51">
        <v>1.9861227105843385E-2</v>
      </c>
      <c r="BZ51">
        <v>3.7489565715822382</v>
      </c>
      <c r="CA51">
        <v>843167</v>
      </c>
      <c r="CB51">
        <v>0.43739726027398396</v>
      </c>
      <c r="CC51">
        <v>116.78137697214852</v>
      </c>
      <c r="CD51">
        <v>2.0831126268198662E-3</v>
      </c>
      <c r="CF51">
        <v>3.3861833688817362</v>
      </c>
      <c r="CG51">
        <v>863814</v>
      </c>
      <c r="CH51">
        <v>2</v>
      </c>
      <c r="CI51">
        <v>0</v>
      </c>
      <c r="CJ51">
        <v>3.3972602739726909</v>
      </c>
      <c r="CK51">
        <v>9.8630136986303185</v>
      </c>
      <c r="CL51">
        <v>9.9726027397259998</v>
      </c>
      <c r="CM51">
        <v>10.082191780822036</v>
      </c>
      <c r="CN51">
        <v>6.6849315068493453</v>
      </c>
      <c r="CO51">
        <v>23.232876712329009</v>
      </c>
      <c r="CP51">
        <v>16.767123287671382</v>
      </c>
      <c r="CQ51">
        <v>40.10958904109625</v>
      </c>
      <c r="CR51">
        <v>40.000000000000391</v>
      </c>
      <c r="CS51">
        <v>819.9452054794524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843167</v>
      </c>
      <c r="DC51">
        <v>1</v>
      </c>
      <c r="DD51">
        <v>0</v>
      </c>
      <c r="DE51">
        <v>0.43739726027398396</v>
      </c>
      <c r="DF51">
        <v>0.83246575342466955</v>
      </c>
      <c r="DG51">
        <v>1.2839726027397225</v>
      </c>
      <c r="DH51">
        <v>1.2980821917808372</v>
      </c>
      <c r="DI51">
        <v>1.2980821917808372</v>
      </c>
      <c r="DJ51">
        <v>2.5538356164383762</v>
      </c>
      <c r="DK51">
        <v>2.5961643835616743</v>
      </c>
      <c r="DL51">
        <v>5.1641095890411428</v>
      </c>
      <c r="DM51">
        <v>107.71260273972607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</row>
    <row r="52" spans="1:126">
      <c r="A52">
        <v>883693</v>
      </c>
      <c r="B52">
        <v>0</v>
      </c>
      <c r="C52">
        <v>163.76340153385254</v>
      </c>
      <c r="D52">
        <v>3.5084388785451624E-3</v>
      </c>
      <c r="F52">
        <v>1.3629564194748809</v>
      </c>
      <c r="G52">
        <v>845095</v>
      </c>
      <c r="H52">
        <v>0</v>
      </c>
      <c r="I52">
        <v>115.33606992372295</v>
      </c>
      <c r="J52">
        <v>2.046707657646986E-3</v>
      </c>
      <c r="L52">
        <v>3.5137228688680109</v>
      </c>
      <c r="M52">
        <v>883693</v>
      </c>
      <c r="N52">
        <v>0</v>
      </c>
      <c r="O52">
        <v>159.42070242003109</v>
      </c>
      <c r="P52">
        <v>3.4670241055202271E-3</v>
      </c>
      <c r="R52">
        <v>1.3251722515998599</v>
      </c>
      <c r="S52">
        <v>845095</v>
      </c>
      <c r="T52">
        <v>0</v>
      </c>
      <c r="U52">
        <v>107.78924961104282</v>
      </c>
      <c r="V52">
        <v>1.9849593873458708E-3</v>
      </c>
      <c r="X52">
        <v>3.2667908455893686</v>
      </c>
      <c r="Y52">
        <v>883693</v>
      </c>
      <c r="Z52">
        <v>0</v>
      </c>
      <c r="AA52">
        <v>165</v>
      </c>
      <c r="AB52">
        <v>3.5080259381311788E-3</v>
      </c>
      <c r="AD52">
        <v>1.3737235375687096</v>
      </c>
      <c r="AE52">
        <v>845095</v>
      </c>
      <c r="AF52">
        <v>0</v>
      </c>
      <c r="AG52">
        <v>120.01369863013699</v>
      </c>
      <c r="AH52">
        <v>2.0748538886991631E-3</v>
      </c>
      <c r="AJ52">
        <v>3.667494328080779</v>
      </c>
      <c r="AK52">
        <v>883693</v>
      </c>
      <c r="AL52">
        <v>0</v>
      </c>
      <c r="AM52">
        <v>159.14908651714941</v>
      </c>
      <c r="AN52">
        <v>3.4463519460609673E-3</v>
      </c>
      <c r="AP52">
        <v>1.3228104995436727</v>
      </c>
      <c r="AQ52">
        <v>845095</v>
      </c>
      <c r="AR52">
        <v>0</v>
      </c>
      <c r="AS52">
        <v>110.67221400261259</v>
      </c>
      <c r="AT52">
        <v>2.0040600826201032E-3</v>
      </c>
      <c r="AV52">
        <v>3.3609468791655654</v>
      </c>
      <c r="AW52">
        <v>883693</v>
      </c>
      <c r="AX52">
        <v>0</v>
      </c>
      <c r="AY52">
        <v>165</v>
      </c>
      <c r="AZ52">
        <v>3.5166989918796222E-3</v>
      </c>
      <c r="BB52">
        <v>1.3737235375687096</v>
      </c>
      <c r="BC52">
        <v>845095</v>
      </c>
      <c r="BD52">
        <v>0</v>
      </c>
      <c r="BE52">
        <v>118.68447818918084</v>
      </c>
      <c r="BF52">
        <v>2.0743232345704146E-3</v>
      </c>
      <c r="BH52">
        <v>3.6237438258931065</v>
      </c>
      <c r="BI52">
        <v>883693</v>
      </c>
      <c r="BJ52">
        <v>0</v>
      </c>
      <c r="BK52">
        <v>165</v>
      </c>
      <c r="BL52">
        <v>3.5298647954817731E-3</v>
      </c>
      <c r="BN52">
        <v>1.3737235375687096</v>
      </c>
      <c r="BO52">
        <v>845095</v>
      </c>
      <c r="BP52">
        <v>0</v>
      </c>
      <c r="BQ52">
        <v>115.1673345720598</v>
      </c>
      <c r="BR52">
        <v>2.0501528183722263E-3</v>
      </c>
      <c r="BT52">
        <v>3.5081859280324417</v>
      </c>
      <c r="BU52">
        <v>883693</v>
      </c>
      <c r="BV52">
        <v>0</v>
      </c>
      <c r="BW52">
        <v>160.6093892312154</v>
      </c>
      <c r="BX52">
        <v>3.4592472211595212E-3</v>
      </c>
      <c r="BZ52">
        <v>1.3355101751710672</v>
      </c>
      <c r="CA52">
        <v>845095</v>
      </c>
      <c r="CB52">
        <v>0</v>
      </c>
      <c r="CC52">
        <v>113.65555137855709</v>
      </c>
      <c r="CD52">
        <v>2.0273550485820284E-3</v>
      </c>
      <c r="CF52">
        <v>3.4586095834343027</v>
      </c>
      <c r="CG52">
        <v>883693</v>
      </c>
      <c r="CH52">
        <v>2</v>
      </c>
      <c r="CI52">
        <v>0</v>
      </c>
      <c r="CJ52">
        <v>0</v>
      </c>
      <c r="CK52">
        <v>0</v>
      </c>
      <c r="CL52">
        <v>7.5000000000000071</v>
      </c>
      <c r="CM52">
        <v>0</v>
      </c>
      <c r="CN52">
        <v>0</v>
      </c>
      <c r="CO52">
        <v>157.5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845095</v>
      </c>
      <c r="DC52">
        <v>1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5.0000000000000044</v>
      </c>
      <c r="DJ52">
        <v>0</v>
      </c>
      <c r="DK52">
        <v>5.0000000000000044</v>
      </c>
      <c r="DL52">
        <v>5.0136986301369868</v>
      </c>
      <c r="DM52">
        <v>105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</row>
    <row r="53" spans="1:126">
      <c r="A53">
        <v>899682</v>
      </c>
      <c r="B53">
        <v>7.8556700096162488E-2</v>
      </c>
      <c r="C53">
        <v>370.83666801053511</v>
      </c>
      <c r="D53">
        <v>7.9447408361834546E-3</v>
      </c>
      <c r="F53">
        <v>6.1096942285722589E-3</v>
      </c>
      <c r="G53">
        <v>848525</v>
      </c>
      <c r="H53">
        <v>9.0000000000000071</v>
      </c>
      <c r="I53">
        <v>211.35255692446913</v>
      </c>
      <c r="J53">
        <v>3.7505777421292788E-3</v>
      </c>
      <c r="L53">
        <v>2.7412069256976039</v>
      </c>
      <c r="M53">
        <v>899682</v>
      </c>
      <c r="N53">
        <v>0.70672837746380357</v>
      </c>
      <c r="O53">
        <v>371.42034583728719</v>
      </c>
      <c r="P53">
        <v>8.077516111462903E-3</v>
      </c>
      <c r="R53">
        <v>5.884447948614399E-3</v>
      </c>
      <c r="S53">
        <v>848525</v>
      </c>
      <c r="T53">
        <v>9.0000000000000071</v>
      </c>
      <c r="U53">
        <v>200.40856048627512</v>
      </c>
      <c r="V53">
        <v>3.6905614880628165E-3</v>
      </c>
      <c r="X53">
        <v>2.5806010367760042</v>
      </c>
      <c r="Y53">
        <v>899682</v>
      </c>
      <c r="Z53">
        <v>3.1408622465704972E-2</v>
      </c>
      <c r="AA53">
        <v>370.79803865424668</v>
      </c>
      <c r="AB53">
        <v>7.8834493176197871E-3</v>
      </c>
      <c r="AD53">
        <v>6.1756913626385794E-3</v>
      </c>
      <c r="AE53">
        <v>848525</v>
      </c>
      <c r="AF53">
        <v>9.0000000000000071</v>
      </c>
      <c r="AG53">
        <v>216.02465753424661</v>
      </c>
      <c r="AH53">
        <v>3.7347369996584942E-3</v>
      </c>
      <c r="AJ53">
        <v>2.8099600814946051</v>
      </c>
      <c r="AK53">
        <v>899682</v>
      </c>
      <c r="AL53">
        <v>0.86324547892342884</v>
      </c>
      <c r="AM53">
        <v>371.57593307504493</v>
      </c>
      <c r="AN53">
        <v>8.0464265808061E-3</v>
      </c>
      <c r="AP53">
        <v>5.9201336299161533E-3</v>
      </c>
      <c r="AQ53">
        <v>848525</v>
      </c>
      <c r="AR53">
        <v>9.0000000000000071</v>
      </c>
      <c r="AS53">
        <v>203.4037104628685</v>
      </c>
      <c r="AT53">
        <v>3.6832484148715868E-3</v>
      </c>
      <c r="AV53">
        <v>2.624492354957598</v>
      </c>
      <c r="AW53">
        <v>899682</v>
      </c>
      <c r="AX53">
        <v>3.1408622465704972E-2</v>
      </c>
      <c r="AY53">
        <v>370.79803865424668</v>
      </c>
      <c r="AZ53">
        <v>7.9029399316747299E-3</v>
      </c>
      <c r="BB53">
        <v>6.1756913626385794E-3</v>
      </c>
      <c r="BC53">
        <v>848525</v>
      </c>
      <c r="BD53">
        <v>9.0000000000000071</v>
      </c>
      <c r="BE53">
        <v>215.90041549540297</v>
      </c>
      <c r="BF53">
        <v>3.7734272842457174E-3</v>
      </c>
      <c r="BH53">
        <v>2.8081303576019971</v>
      </c>
      <c r="BI53">
        <v>899682</v>
      </c>
      <c r="BJ53">
        <v>3.1408622465704972E-2</v>
      </c>
      <c r="BK53">
        <v>370.79723883141929</v>
      </c>
      <c r="BL53">
        <v>7.9325098158355995E-3</v>
      </c>
      <c r="BN53">
        <v>6.1681513968340857E-3</v>
      </c>
      <c r="BO53">
        <v>848525</v>
      </c>
      <c r="BP53">
        <v>9.0000000000000071</v>
      </c>
      <c r="BQ53">
        <v>212.54850852643659</v>
      </c>
      <c r="BR53">
        <v>3.7836850650010963E-3</v>
      </c>
      <c r="BT53">
        <v>2.7587956728269223</v>
      </c>
      <c r="BU53">
        <v>899682</v>
      </c>
      <c r="BV53">
        <v>0.70617696714886746</v>
      </c>
      <c r="BW53">
        <v>371.43035319188482</v>
      </c>
      <c r="BX53">
        <v>7.9999645306141603E-3</v>
      </c>
      <c r="BZ53">
        <v>5.9790188972047185E-3</v>
      </c>
      <c r="CA53">
        <v>848525</v>
      </c>
      <c r="CB53">
        <v>9.0000000000000071</v>
      </c>
      <c r="CC53">
        <v>207.53526534840609</v>
      </c>
      <c r="CD53">
        <v>3.7019543951839263E-3</v>
      </c>
      <c r="CF53">
        <v>2.6851155464498682</v>
      </c>
      <c r="CG53">
        <v>899682</v>
      </c>
      <c r="CH53">
        <v>2</v>
      </c>
      <c r="CI53">
        <v>7.8556700096162488E-2</v>
      </c>
      <c r="CJ53">
        <v>376.92134780940165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848525</v>
      </c>
      <c r="DC53">
        <v>3</v>
      </c>
      <c r="DD53">
        <v>0</v>
      </c>
      <c r="DE53">
        <v>9.0000000000000071</v>
      </c>
      <c r="DF53">
        <v>0</v>
      </c>
      <c r="DG53">
        <v>0</v>
      </c>
      <c r="DH53">
        <v>0</v>
      </c>
      <c r="DI53">
        <v>0</v>
      </c>
      <c r="DJ53">
        <v>9.0000000000000071</v>
      </c>
      <c r="DK53">
        <v>0</v>
      </c>
      <c r="DL53">
        <v>9.0000000000000071</v>
      </c>
      <c r="DM53">
        <v>189.02465753424659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</row>
    <row r="54" spans="1:126">
      <c r="A54">
        <v>1013809</v>
      </c>
      <c r="B54">
        <v>0</v>
      </c>
      <c r="C54">
        <v>180.47753583802867</v>
      </c>
      <c r="D54">
        <v>3.8665196100441048E-3</v>
      </c>
      <c r="F54">
        <v>0.16988571643690686</v>
      </c>
      <c r="G54">
        <v>848529</v>
      </c>
      <c r="H54">
        <v>9.7041095890412095</v>
      </c>
      <c r="I54">
        <v>895.69211169751816</v>
      </c>
      <c r="J54">
        <v>1.5894593123536312E-2</v>
      </c>
      <c r="L54">
        <v>3.5288491685600105</v>
      </c>
      <c r="M54">
        <v>1013809</v>
      </c>
      <c r="N54">
        <v>0</v>
      </c>
      <c r="O54">
        <v>180.75131546696957</v>
      </c>
      <c r="P54">
        <v>3.9309146071717102E-3</v>
      </c>
      <c r="R54">
        <v>0.16969097171286412</v>
      </c>
      <c r="S54">
        <v>848529</v>
      </c>
      <c r="T54">
        <v>9.7041095890412095</v>
      </c>
      <c r="U54">
        <v>836.95149920611527</v>
      </c>
      <c r="V54">
        <v>1.5412619914297834E-2</v>
      </c>
      <c r="X54">
        <v>3.2694750554966712</v>
      </c>
      <c r="Y54">
        <v>1013809</v>
      </c>
      <c r="Z54">
        <v>0</v>
      </c>
      <c r="AA54">
        <v>180.45024657534256</v>
      </c>
      <c r="AB54">
        <v>3.8365099728998099E-3</v>
      </c>
      <c r="AD54">
        <v>0.16994075507175627</v>
      </c>
      <c r="AE54">
        <v>848529</v>
      </c>
      <c r="AF54">
        <v>9.7041095890412095</v>
      </c>
      <c r="AG54">
        <v>933.8095890410973</v>
      </c>
      <c r="AH54">
        <v>1.6144144203884672E-2</v>
      </c>
      <c r="AJ54">
        <v>3.698081449074301</v>
      </c>
      <c r="AK54">
        <v>1013809</v>
      </c>
      <c r="AL54">
        <v>0</v>
      </c>
      <c r="AM54">
        <v>180.87565235551926</v>
      </c>
      <c r="AN54">
        <v>3.9168377911067646E-3</v>
      </c>
      <c r="AP54">
        <v>0.16968998026987808</v>
      </c>
      <c r="AQ54">
        <v>848529</v>
      </c>
      <c r="AR54">
        <v>9.7041095890412095</v>
      </c>
      <c r="AS54">
        <v>860.26997465110276</v>
      </c>
      <c r="AT54">
        <v>1.5577828021351273E-2</v>
      </c>
      <c r="AV54">
        <v>3.3722263435712181</v>
      </c>
      <c r="AW54">
        <v>1013809</v>
      </c>
      <c r="AX54">
        <v>0</v>
      </c>
      <c r="AY54">
        <v>180.45024657534256</v>
      </c>
      <c r="AZ54">
        <v>3.8459951528238574E-3</v>
      </c>
      <c r="BB54">
        <v>0.16994075507175627</v>
      </c>
      <c r="BC54">
        <v>848529</v>
      </c>
      <c r="BD54">
        <v>9.7041095890412095</v>
      </c>
      <c r="BE54">
        <v>921.9653591913526</v>
      </c>
      <c r="BF54">
        <v>1.6113768162600541E-2</v>
      </c>
      <c r="BH54">
        <v>3.6454213619006159</v>
      </c>
      <c r="BI54">
        <v>1013809</v>
      </c>
      <c r="BJ54">
        <v>0</v>
      </c>
      <c r="BK54">
        <v>180.44989060588415</v>
      </c>
      <c r="BL54">
        <v>3.8603861587772582E-3</v>
      </c>
      <c r="BN54">
        <v>0.16993433094564492</v>
      </c>
      <c r="BO54">
        <v>848529</v>
      </c>
      <c r="BP54">
        <v>9.7041095890412095</v>
      </c>
      <c r="BQ54">
        <v>893.23557454514162</v>
      </c>
      <c r="BR54">
        <v>1.5900944807212134E-2</v>
      </c>
      <c r="BT54">
        <v>3.5179669590361975</v>
      </c>
      <c r="BU54">
        <v>1013809</v>
      </c>
      <c r="BV54">
        <v>0</v>
      </c>
      <c r="BW54">
        <v>180.79271144222932</v>
      </c>
      <c r="BX54">
        <v>3.8939609175780076E-3</v>
      </c>
      <c r="BZ54">
        <v>0.16975577037601985</v>
      </c>
      <c r="CA54">
        <v>848529</v>
      </c>
      <c r="CB54">
        <v>9.7041095890412095</v>
      </c>
      <c r="CC54">
        <v>883.652527103897</v>
      </c>
      <c r="CD54">
        <v>1.576233972108769E-2</v>
      </c>
      <c r="CF54">
        <v>3.4755437256638895</v>
      </c>
      <c r="CG54">
        <v>1013809</v>
      </c>
      <c r="CH54">
        <v>2</v>
      </c>
      <c r="CI54">
        <v>0</v>
      </c>
      <c r="CJ54">
        <v>0</v>
      </c>
      <c r="CK54">
        <v>183.07169759015434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848529</v>
      </c>
      <c r="DC54">
        <v>2</v>
      </c>
      <c r="DD54">
        <v>0</v>
      </c>
      <c r="DE54">
        <v>9.7041095890412095</v>
      </c>
      <c r="DF54">
        <v>0</v>
      </c>
      <c r="DG54">
        <v>9.3876712328767464</v>
      </c>
      <c r="DH54">
        <v>9.7041095890412095</v>
      </c>
      <c r="DI54">
        <v>9.7041095890412095</v>
      </c>
      <c r="DJ54">
        <v>19.091780821917958</v>
      </c>
      <c r="DK54">
        <v>19.408219178082419</v>
      </c>
      <c r="DL54">
        <v>38.605479452055135</v>
      </c>
      <c r="DM54">
        <v>38.500000000000377</v>
      </c>
      <c r="DN54">
        <v>779.7041095890412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</row>
    <row r="55" spans="1:126">
      <c r="A55" s="104">
        <v>1018363</v>
      </c>
      <c r="B55">
        <v>0</v>
      </c>
      <c r="C55">
        <v>426.34303902263707</v>
      </c>
      <c r="D55">
        <v>9.1338997583957204E-3</v>
      </c>
      <c r="F55">
        <v>0.89903372811712268</v>
      </c>
      <c r="G55">
        <v>849238</v>
      </c>
      <c r="H55">
        <v>20.164383561643895</v>
      </c>
      <c r="I55">
        <v>920.41575473464229</v>
      </c>
      <c r="J55">
        <v>1.6333328980952626E-2</v>
      </c>
      <c r="L55">
        <v>2.7320802452014648</v>
      </c>
      <c r="M55" s="104">
        <v>1018363</v>
      </c>
      <c r="N55">
        <v>0</v>
      </c>
      <c r="O55">
        <v>418.81361360120184</v>
      </c>
      <c r="P55">
        <v>9.1082078552738432E-3</v>
      </c>
      <c r="R55">
        <v>0.88293273821620832</v>
      </c>
      <c r="S55">
        <v>849238</v>
      </c>
      <c r="T55">
        <v>20.164383561643895</v>
      </c>
      <c r="U55">
        <v>872.87997190184683</v>
      </c>
      <c r="V55">
        <v>1.6074249524001379E-2</v>
      </c>
      <c r="X55">
        <v>2.5754213862888053</v>
      </c>
      <c r="Y55" s="104">
        <v>1018363</v>
      </c>
      <c r="Z55">
        <v>0</v>
      </c>
      <c r="AA55">
        <v>428.27399999999989</v>
      </c>
      <c r="AB55">
        <v>9.1054321250132863E-3</v>
      </c>
      <c r="AD55">
        <v>0.90316382062087308</v>
      </c>
      <c r="AE55">
        <v>849238</v>
      </c>
      <c r="AF55">
        <v>20.164383561643895</v>
      </c>
      <c r="AG55">
        <v>940.27397260274006</v>
      </c>
      <c r="AH55">
        <v>1.6255903540727153E-2</v>
      </c>
      <c r="AJ55">
        <v>2.7977057189387429</v>
      </c>
      <c r="AK55" s="104">
        <v>1018363</v>
      </c>
      <c r="AL55">
        <v>0</v>
      </c>
      <c r="AM55">
        <v>418.84123508963057</v>
      </c>
      <c r="AN55">
        <v>9.0699503040263009E-3</v>
      </c>
      <c r="AP55">
        <v>0.88299179385881632</v>
      </c>
      <c r="AQ55">
        <v>849238</v>
      </c>
      <c r="AR55">
        <v>20.164383561643895</v>
      </c>
      <c r="AS55">
        <v>885.59898807748755</v>
      </c>
      <c r="AT55">
        <v>1.603648754305171E-2</v>
      </c>
      <c r="AV55">
        <v>2.617276780307042</v>
      </c>
      <c r="AW55" s="104">
        <v>1018363</v>
      </c>
      <c r="AX55">
        <v>0</v>
      </c>
      <c r="AY55">
        <v>428.27399999999989</v>
      </c>
      <c r="AZ55">
        <v>9.1279439033227459E-3</v>
      </c>
      <c r="BB55">
        <v>0.90316382062087308</v>
      </c>
      <c r="BC55">
        <v>849238</v>
      </c>
      <c r="BD55">
        <v>20.164383561643895</v>
      </c>
      <c r="BE55">
        <v>940.08031986001379</v>
      </c>
      <c r="BF55">
        <v>1.6430374717911315E-2</v>
      </c>
      <c r="BH55">
        <v>2.7970652562290677</v>
      </c>
      <c r="BI55" s="104">
        <v>1018363</v>
      </c>
      <c r="BJ55">
        <v>0</v>
      </c>
      <c r="BK55">
        <v>428.27399999999989</v>
      </c>
      <c r="BL55">
        <v>9.1621170631524876E-3</v>
      </c>
      <c r="BN55">
        <v>0.90316382062087308</v>
      </c>
      <c r="BO55">
        <v>849238</v>
      </c>
      <c r="BP55">
        <v>20.164383561643895</v>
      </c>
      <c r="BQ55">
        <v>925.89752438936955</v>
      </c>
      <c r="BR55">
        <v>1.6482376936170353E-2</v>
      </c>
      <c r="BT55">
        <v>2.7501854752445292</v>
      </c>
      <c r="BU55" s="104">
        <v>1018363</v>
      </c>
      <c r="BV55">
        <v>0</v>
      </c>
      <c r="BW55">
        <v>420.77443266330351</v>
      </c>
      <c r="BX55">
        <v>9.0627502781301245E-3</v>
      </c>
      <c r="BZ55">
        <v>0.8871252243542127</v>
      </c>
      <c r="CA55">
        <v>849238</v>
      </c>
      <c r="CB55">
        <v>20.164383561643895</v>
      </c>
      <c r="CC55">
        <v>903.50235394603851</v>
      </c>
      <c r="CD55">
        <v>1.6116415225308833E-2</v>
      </c>
      <c r="CF55">
        <v>2.6762692924521847</v>
      </c>
      <c r="CG55">
        <v>1018363</v>
      </c>
      <c r="CH55">
        <v>2</v>
      </c>
      <c r="CI55">
        <v>0</v>
      </c>
      <c r="CJ55">
        <v>0</v>
      </c>
      <c r="CK55">
        <v>0</v>
      </c>
      <c r="CL55">
        <v>10.170235222380727</v>
      </c>
      <c r="CM55">
        <v>0</v>
      </c>
      <c r="CN55">
        <v>418.39511638894498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849238</v>
      </c>
      <c r="DC55">
        <v>2</v>
      </c>
      <c r="DD55">
        <v>0</v>
      </c>
      <c r="DE55">
        <v>20.164383561643895</v>
      </c>
      <c r="DF55">
        <v>0</v>
      </c>
      <c r="DG55">
        <v>0</v>
      </c>
      <c r="DH55">
        <v>19.835616438356141</v>
      </c>
      <c r="DI55">
        <v>0</v>
      </c>
      <c r="DJ55">
        <v>20.164383561643895</v>
      </c>
      <c r="DK55">
        <v>19.835616438356141</v>
      </c>
      <c r="DL55">
        <v>40.109589041095894</v>
      </c>
      <c r="DM55">
        <v>820.16438356164394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</row>
    <row r="56" spans="1:126">
      <c r="A56">
        <v>1021229</v>
      </c>
      <c r="B56">
        <v>0</v>
      </c>
      <c r="C56">
        <v>271.06322016511621</v>
      </c>
      <c r="D56">
        <v>5.8072116923777494E-3</v>
      </c>
      <c r="F56">
        <v>0.25373425217288265</v>
      </c>
      <c r="G56">
        <v>849240</v>
      </c>
      <c r="H56">
        <v>0</v>
      </c>
      <c r="I56">
        <v>16.292415250752406</v>
      </c>
      <c r="J56">
        <v>2.8911866927087602E-4</v>
      </c>
      <c r="L56">
        <v>1.8180811453800083</v>
      </c>
      <c r="M56">
        <v>1021229</v>
      </c>
      <c r="N56">
        <v>0</v>
      </c>
      <c r="O56">
        <v>271.02153846906663</v>
      </c>
      <c r="P56">
        <v>5.8940789541356755E-3</v>
      </c>
      <c r="R56">
        <v>0.25297937582614022</v>
      </c>
      <c r="S56">
        <v>849240</v>
      </c>
      <c r="T56">
        <v>0</v>
      </c>
      <c r="U56">
        <v>15.721330512845014</v>
      </c>
      <c r="V56">
        <v>2.8951127033211818E-4</v>
      </c>
      <c r="X56">
        <v>1.7508635152589833</v>
      </c>
      <c r="Y56">
        <v>1021229</v>
      </c>
      <c r="Z56">
        <v>0</v>
      </c>
      <c r="AA56">
        <v>271.08073972602762</v>
      </c>
      <c r="AB56">
        <v>5.7633834320405574E-3</v>
      </c>
      <c r="AD56">
        <v>0.25407005064034044</v>
      </c>
      <c r="AE56">
        <v>849240</v>
      </c>
      <c r="AF56">
        <v>0</v>
      </c>
      <c r="AG56">
        <v>16.43630136986302</v>
      </c>
      <c r="AH56">
        <v>2.8415859358014973E-4</v>
      </c>
      <c r="AJ56">
        <v>1.8350345280233864</v>
      </c>
      <c r="AK56">
        <v>1021229</v>
      </c>
      <c r="AL56">
        <v>0</v>
      </c>
      <c r="AM56">
        <v>271.02976442388308</v>
      </c>
      <c r="AN56">
        <v>5.8691128959891528E-3</v>
      </c>
      <c r="AP56">
        <v>0.25312754964407447</v>
      </c>
      <c r="AQ56">
        <v>849240</v>
      </c>
      <c r="AR56">
        <v>0</v>
      </c>
      <c r="AS56">
        <v>15.754532434337916</v>
      </c>
      <c r="AT56">
        <v>2.8528415968307103E-4</v>
      </c>
      <c r="AV56">
        <v>1.7547682989488838</v>
      </c>
      <c r="AW56">
        <v>1021229</v>
      </c>
      <c r="AX56">
        <v>0</v>
      </c>
      <c r="AY56">
        <v>271.07849314858925</v>
      </c>
      <c r="AZ56">
        <v>5.7775846277326719E-3</v>
      </c>
      <c r="BB56">
        <v>0.25402632416416471</v>
      </c>
      <c r="BC56">
        <v>849240</v>
      </c>
      <c r="BD56">
        <v>0</v>
      </c>
      <c r="BE56">
        <v>16.43630136986302</v>
      </c>
      <c r="BF56">
        <v>2.8726757148110702E-4</v>
      </c>
      <c r="BH56">
        <v>1.8350345280233864</v>
      </c>
      <c r="BI56">
        <v>1021229</v>
      </c>
      <c r="BJ56">
        <v>0</v>
      </c>
      <c r="BK56">
        <v>271.06845097212118</v>
      </c>
      <c r="BL56">
        <v>5.7989998924379855E-3</v>
      </c>
      <c r="BN56">
        <v>0.25383291834851579</v>
      </c>
      <c r="BO56">
        <v>849240</v>
      </c>
      <c r="BP56">
        <v>0</v>
      </c>
      <c r="BQ56">
        <v>16.43630136986302</v>
      </c>
      <c r="BR56">
        <v>2.9259103462150459E-4</v>
      </c>
      <c r="BT56">
        <v>1.8350345280233864</v>
      </c>
      <c r="BU56">
        <v>1021229</v>
      </c>
      <c r="BV56">
        <v>0</v>
      </c>
      <c r="BW56">
        <v>271.04515664903454</v>
      </c>
      <c r="BX56">
        <v>5.8378417939011079E-3</v>
      </c>
      <c r="BZ56">
        <v>0.25340436376240821</v>
      </c>
      <c r="CA56">
        <v>849240</v>
      </c>
      <c r="CB56">
        <v>0</v>
      </c>
      <c r="CC56">
        <v>15.954007309636454</v>
      </c>
      <c r="CD56">
        <v>2.8458299548057392E-4</v>
      </c>
      <c r="CF56">
        <v>1.7782362039660193</v>
      </c>
      <c r="CG56">
        <v>1021229</v>
      </c>
      <c r="CH56">
        <v>2</v>
      </c>
      <c r="CI56">
        <v>0</v>
      </c>
      <c r="CJ56">
        <v>0</v>
      </c>
      <c r="CK56">
        <v>283.52800000251909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849240</v>
      </c>
      <c r="DC56">
        <v>1</v>
      </c>
      <c r="DD56">
        <v>0</v>
      </c>
      <c r="DE56">
        <v>6.3698630136987955E-2</v>
      </c>
      <c r="DF56">
        <v>0.12123287671233052</v>
      </c>
      <c r="DG56">
        <v>0.1869863013698625</v>
      </c>
      <c r="DH56">
        <v>0.18904109589041318</v>
      </c>
      <c r="DI56">
        <v>0.18904109589041318</v>
      </c>
      <c r="DJ56">
        <v>0.37191780821918097</v>
      </c>
      <c r="DK56">
        <v>15.314383561643838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</row>
    <row r="57" spans="1:126">
      <c r="A57">
        <v>1021232</v>
      </c>
      <c r="B57">
        <v>0</v>
      </c>
      <c r="C57">
        <v>46.136664683955608</v>
      </c>
      <c r="D57">
        <v>9.8842394935312063E-4</v>
      </c>
      <c r="F57">
        <v>0.49952768986615431</v>
      </c>
      <c r="G57">
        <v>849241</v>
      </c>
      <c r="H57">
        <v>310.00000000000028</v>
      </c>
      <c r="I57">
        <v>7442.9145690701389</v>
      </c>
      <c r="J57">
        <v>0.13207897801444737</v>
      </c>
      <c r="L57">
        <v>3.455111785262154</v>
      </c>
      <c r="M57">
        <v>1021232</v>
      </c>
      <c r="N57">
        <v>0</v>
      </c>
      <c r="O57">
        <v>46.132149038295317</v>
      </c>
      <c r="P57">
        <v>1.0032653872884024E-3</v>
      </c>
      <c r="R57">
        <v>0.49917333013515836</v>
      </c>
      <c r="S57">
        <v>849241</v>
      </c>
      <c r="T57">
        <v>310.00000000000028</v>
      </c>
      <c r="U57">
        <v>6964.8268789944486</v>
      </c>
      <c r="V57">
        <v>0.12825860226864905</v>
      </c>
      <c r="X57">
        <v>3.1980833686772532</v>
      </c>
      <c r="Y57">
        <v>1021232</v>
      </c>
      <c r="Z57">
        <v>0</v>
      </c>
      <c r="AA57">
        <v>46.138126027397256</v>
      </c>
      <c r="AB57">
        <v>9.8093177479318078E-4</v>
      </c>
      <c r="AD57">
        <v>0.49964972895720305</v>
      </c>
      <c r="AE57">
        <v>849241</v>
      </c>
      <c r="AF57">
        <v>310.00000000000028</v>
      </c>
      <c r="AG57">
        <v>7750.8493150684935</v>
      </c>
      <c r="AH57">
        <v>0.13400036850503949</v>
      </c>
      <c r="AJ57">
        <v>3.6215233309186057</v>
      </c>
      <c r="AK57">
        <v>1021232</v>
      </c>
      <c r="AL57">
        <v>0</v>
      </c>
      <c r="AM57">
        <v>46.132600153479814</v>
      </c>
      <c r="AN57">
        <v>9.9899521759847149E-4</v>
      </c>
      <c r="AP57">
        <v>0.4992153463101357</v>
      </c>
      <c r="AQ57">
        <v>849241</v>
      </c>
      <c r="AR57">
        <v>310.00000000000028</v>
      </c>
      <c r="AS57">
        <v>7153.9070241858453</v>
      </c>
      <c r="AT57">
        <v>0.12954344169538326</v>
      </c>
      <c r="AV57">
        <v>3.299535393465074</v>
      </c>
      <c r="AW57">
        <v>1021232</v>
      </c>
      <c r="AX57">
        <v>0</v>
      </c>
      <c r="AY57">
        <v>46.138125347191341</v>
      </c>
      <c r="AZ57">
        <v>9.8335696300414204E-4</v>
      </c>
      <c r="BB57">
        <v>0.49964966993623816</v>
      </c>
      <c r="BC57">
        <v>849241</v>
      </c>
      <c r="BD57">
        <v>310.00000000000028</v>
      </c>
      <c r="BE57">
        <v>7656.7479294229252</v>
      </c>
      <c r="BF57">
        <v>0.13382179686491411</v>
      </c>
      <c r="BH57">
        <v>3.5706010255428722</v>
      </c>
      <c r="BI57">
        <v>1021232</v>
      </c>
      <c r="BJ57">
        <v>0</v>
      </c>
      <c r="BK57">
        <v>46.137574064595526</v>
      </c>
      <c r="BL57">
        <v>9.8702665720938566E-4</v>
      </c>
      <c r="BN57">
        <v>0.49960201748786992</v>
      </c>
      <c r="BO57">
        <v>849241</v>
      </c>
      <c r="BP57">
        <v>310.00000000000028</v>
      </c>
      <c r="BQ57">
        <v>7424.6818068673074</v>
      </c>
      <c r="BR57">
        <v>0.13217057066074422</v>
      </c>
      <c r="BT57">
        <v>3.4452791849854569</v>
      </c>
      <c r="BU57">
        <v>1021232</v>
      </c>
      <c r="BV57">
        <v>0</v>
      </c>
      <c r="BW57">
        <v>46.134207410839103</v>
      </c>
      <c r="BX57">
        <v>9.9365067976564438E-4</v>
      </c>
      <c r="BZ57">
        <v>0.49934072110644057</v>
      </c>
      <c r="CA57">
        <v>849241</v>
      </c>
      <c r="CB57">
        <v>310.00000000000028</v>
      </c>
      <c r="CC57">
        <v>7344.0474826702821</v>
      </c>
      <c r="CD57">
        <v>0.13100100752163327</v>
      </c>
      <c r="CF57">
        <v>3.4018227838770319</v>
      </c>
      <c r="CG57">
        <v>1021232</v>
      </c>
      <c r="CH57">
        <v>2</v>
      </c>
      <c r="CI57">
        <v>0</v>
      </c>
      <c r="CJ57">
        <v>0</v>
      </c>
      <c r="CK57">
        <v>0</v>
      </c>
      <c r="CL57">
        <v>47.203977383356246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849241</v>
      </c>
      <c r="DC57">
        <v>2</v>
      </c>
      <c r="DD57">
        <v>0</v>
      </c>
      <c r="DE57">
        <v>310.00000000000028</v>
      </c>
      <c r="DF57">
        <v>0</v>
      </c>
      <c r="DG57">
        <v>0</v>
      </c>
      <c r="DH57">
        <v>0</v>
      </c>
      <c r="DI57">
        <v>0</v>
      </c>
      <c r="DJ57">
        <v>310.00000000000028</v>
      </c>
      <c r="DK57">
        <v>0</v>
      </c>
      <c r="DL57">
        <v>310.00000000000028</v>
      </c>
      <c r="DM57">
        <v>310.84931506849318</v>
      </c>
      <c r="DN57">
        <v>6510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</row>
    <row r="58" spans="1:126">
      <c r="A58">
        <v>1021259</v>
      </c>
      <c r="B58">
        <v>0</v>
      </c>
      <c r="C58">
        <v>4.0118578616088563</v>
      </c>
      <c r="D58">
        <v>8.5949351106730427E-5</v>
      </c>
      <c r="F58">
        <v>1.0028660282113713</v>
      </c>
      <c r="G58">
        <v>849960</v>
      </c>
      <c r="H58">
        <v>0</v>
      </c>
      <c r="I58">
        <v>34.31722590318153</v>
      </c>
      <c r="J58">
        <v>6.0897973280773588E-4</v>
      </c>
      <c r="L58">
        <v>4.4574909662511857</v>
      </c>
      <c r="M58">
        <v>1021259</v>
      </c>
      <c r="N58">
        <v>0</v>
      </c>
      <c r="O58">
        <v>4.0114120626198666</v>
      </c>
      <c r="P58">
        <v>8.7238746957937161E-5</v>
      </c>
      <c r="R58">
        <v>1.0025016130770095</v>
      </c>
      <c r="S58">
        <v>849960</v>
      </c>
      <c r="T58">
        <v>0</v>
      </c>
      <c r="U58">
        <v>31.532938562297375</v>
      </c>
      <c r="V58">
        <v>5.8068501854957133E-4</v>
      </c>
      <c r="X58">
        <v>4.0451930577647133</v>
      </c>
      <c r="Y58">
        <v>1021259</v>
      </c>
      <c r="Z58">
        <v>0</v>
      </c>
      <c r="AA58">
        <v>4.0120109589041091</v>
      </c>
      <c r="AB58">
        <v>8.5298415199407023E-5</v>
      </c>
      <c r="AD58">
        <v>1.0029992212183008</v>
      </c>
      <c r="AE58">
        <v>849960</v>
      </c>
      <c r="AF58">
        <v>0</v>
      </c>
      <c r="AG58">
        <v>36.857242322349862</v>
      </c>
      <c r="AH58">
        <v>6.3720553096970815E-4</v>
      </c>
      <c r="AJ58">
        <v>4.8374917406544053</v>
      </c>
      <c r="AK58">
        <v>1021259</v>
      </c>
      <c r="AL58">
        <v>0</v>
      </c>
      <c r="AM58">
        <v>4.0114733136036893</v>
      </c>
      <c r="AN58">
        <v>8.6867912115976722E-5</v>
      </c>
      <c r="AP58">
        <v>1.0025729373044254</v>
      </c>
      <c r="AQ58">
        <v>849960</v>
      </c>
      <c r="AR58">
        <v>0</v>
      </c>
      <c r="AS58">
        <v>33.03593930385702</v>
      </c>
      <c r="AT58">
        <v>5.9821706692483379E-4</v>
      </c>
      <c r="AV58">
        <v>4.2671811475425274</v>
      </c>
      <c r="AW58">
        <v>1021259</v>
      </c>
      <c r="AX58">
        <v>0</v>
      </c>
      <c r="AY58">
        <v>4.0120108412503441</v>
      </c>
      <c r="AZ58">
        <v>8.5509299883849697E-5</v>
      </c>
      <c r="BB58">
        <v>1.002999097992574</v>
      </c>
      <c r="BC58">
        <v>849960</v>
      </c>
      <c r="BD58">
        <v>0</v>
      </c>
      <c r="BE58">
        <v>35.585263763622656</v>
      </c>
      <c r="BF58">
        <v>6.2194602495145861E-4</v>
      </c>
      <c r="BH58">
        <v>4.6467557863178266</v>
      </c>
      <c r="BI58">
        <v>1021259</v>
      </c>
      <c r="BJ58">
        <v>0</v>
      </c>
      <c r="BK58">
        <v>4.0119433970083556</v>
      </c>
      <c r="BL58">
        <v>8.5827986415547568E-5</v>
      </c>
      <c r="BN58">
        <v>1.0029288828778167</v>
      </c>
      <c r="BO58">
        <v>849960</v>
      </c>
      <c r="BP58">
        <v>0</v>
      </c>
      <c r="BQ58">
        <v>33.720576252486914</v>
      </c>
      <c r="BR58">
        <v>6.0027728086314044E-4</v>
      </c>
      <c r="BT58">
        <v>4.3687512934319956</v>
      </c>
      <c r="BU58">
        <v>1021259</v>
      </c>
      <c r="BV58">
        <v>0</v>
      </c>
      <c r="BW58">
        <v>4.0116340273588573</v>
      </c>
      <c r="BX58">
        <v>8.6403627632704929E-5</v>
      </c>
      <c r="BZ58">
        <v>1.0027057767829988</v>
      </c>
      <c r="CA58">
        <v>849960</v>
      </c>
      <c r="CB58">
        <v>0</v>
      </c>
      <c r="CC58">
        <v>34.225857570408742</v>
      </c>
      <c r="CD58">
        <v>6.1051100712453826E-4</v>
      </c>
      <c r="CF58">
        <v>4.4438884789457829</v>
      </c>
      <c r="CG58">
        <v>1021259</v>
      </c>
      <c r="CH58">
        <v>2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4.1049240103179709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849960</v>
      </c>
      <c r="DC58">
        <v>1</v>
      </c>
      <c r="DD58">
        <v>0</v>
      </c>
      <c r="DE58">
        <v>0</v>
      </c>
      <c r="DF58">
        <v>0.35753424657534261</v>
      </c>
      <c r="DG58">
        <v>0.36547945205479881</v>
      </c>
      <c r="DH58">
        <v>0.36547945205479881</v>
      </c>
      <c r="DI58">
        <v>0.36150684931506749</v>
      </c>
      <c r="DJ58">
        <v>0.72301369863014142</v>
      </c>
      <c r="DK58">
        <v>0.72698630136986631</v>
      </c>
      <c r="DL58">
        <v>1.4539726027397326</v>
      </c>
      <c r="DM58">
        <v>1.4500000000000077</v>
      </c>
      <c r="DN58">
        <v>1.4500000000000077</v>
      </c>
      <c r="DO58">
        <v>29.72301369863014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</row>
    <row r="59" spans="1:126">
      <c r="A59">
        <v>1021263</v>
      </c>
      <c r="B59">
        <v>0</v>
      </c>
      <c r="C59">
        <v>60.236501078412118</v>
      </c>
      <c r="D59">
        <v>1.2904964131887678E-3</v>
      </c>
      <c r="F59">
        <v>9.2420250192712994E-2</v>
      </c>
      <c r="G59">
        <v>850058</v>
      </c>
      <c r="H59">
        <v>0.75759454010873584</v>
      </c>
      <c r="I59">
        <v>475.722255662419</v>
      </c>
      <c r="J59">
        <v>8.4419764278538291E-3</v>
      </c>
      <c r="L59">
        <v>4.6575342465753428E-2</v>
      </c>
      <c r="M59">
        <v>1021263</v>
      </c>
      <c r="N59">
        <v>0</v>
      </c>
      <c r="O59">
        <v>60.227575753409162</v>
      </c>
      <c r="P59">
        <v>1.3098076585057014E-3</v>
      </c>
      <c r="R59">
        <v>9.1682817465425601E-2</v>
      </c>
      <c r="S59">
        <v>850058</v>
      </c>
      <c r="T59">
        <v>10.257594540108744</v>
      </c>
      <c r="U59">
        <v>484.77001696118322</v>
      </c>
      <c r="V59">
        <v>8.9271314100728E-3</v>
      </c>
      <c r="X59">
        <v>4.6575342465753428E-2</v>
      </c>
      <c r="Y59">
        <v>1021263</v>
      </c>
      <c r="Z59">
        <v>0</v>
      </c>
      <c r="AA59">
        <v>60.24016438356152</v>
      </c>
      <c r="AB59">
        <v>1.280751873786787E-3</v>
      </c>
      <c r="AD59">
        <v>9.2738277749099388E-2</v>
      </c>
      <c r="AE59">
        <v>850058</v>
      </c>
      <c r="AF59">
        <v>0</v>
      </c>
      <c r="AG59">
        <v>475</v>
      </c>
      <c r="AH59">
        <v>8.212025863559352E-3</v>
      </c>
      <c r="AJ59">
        <v>4.6575342465753428E-2</v>
      </c>
      <c r="AK59">
        <v>1021263</v>
      </c>
      <c r="AL59">
        <v>0</v>
      </c>
      <c r="AM59">
        <v>60.229254578208987</v>
      </c>
      <c r="AN59">
        <v>1.30425636281013E-3</v>
      </c>
      <c r="AP59">
        <v>9.1818068082211393E-2</v>
      </c>
      <c r="AQ59">
        <v>850058</v>
      </c>
      <c r="AR59">
        <v>14.843061354480358</v>
      </c>
      <c r="AS59">
        <v>489.13117400944458</v>
      </c>
      <c r="AT59">
        <v>8.8572210272606939E-3</v>
      </c>
      <c r="AV59">
        <v>4.6575342465753428E-2</v>
      </c>
      <c r="AW59">
        <v>1021263</v>
      </c>
      <c r="AX59">
        <v>0</v>
      </c>
      <c r="AY59">
        <v>60.239737748633736</v>
      </c>
      <c r="AZ59">
        <v>1.2839092424952309E-3</v>
      </c>
      <c r="BB59">
        <v>9.2700770021719239E-2</v>
      </c>
      <c r="BC59">
        <v>850058</v>
      </c>
      <c r="BD59">
        <v>0</v>
      </c>
      <c r="BE59">
        <v>475</v>
      </c>
      <c r="BF59">
        <v>8.3018736017897096E-3</v>
      </c>
      <c r="BH59">
        <v>4.6575342465753428E-2</v>
      </c>
      <c r="BI59">
        <v>1021263</v>
      </c>
      <c r="BJ59">
        <v>0</v>
      </c>
      <c r="BK59">
        <v>60.237682811093499</v>
      </c>
      <c r="BL59">
        <v>1.2886719752501605E-3</v>
      </c>
      <c r="BN59">
        <v>9.2521819687541862E-2</v>
      </c>
      <c r="BO59">
        <v>850058</v>
      </c>
      <c r="BP59">
        <v>0</v>
      </c>
      <c r="BQ59">
        <v>475</v>
      </c>
      <c r="BR59">
        <v>8.4557187360925681E-3</v>
      </c>
      <c r="BT59">
        <v>4.6575342465753428E-2</v>
      </c>
      <c r="BU59">
        <v>1021263</v>
      </c>
      <c r="BV59">
        <v>0</v>
      </c>
      <c r="BW59">
        <v>60.232538795605187</v>
      </c>
      <c r="BX59">
        <v>1.2973042450969263E-3</v>
      </c>
      <c r="BZ59">
        <v>9.2087029651243948E-2</v>
      </c>
      <c r="CA59">
        <v>850058</v>
      </c>
      <c r="CB59">
        <v>11.976608035917474</v>
      </c>
      <c r="CC59">
        <v>486.4053995232544</v>
      </c>
      <c r="CD59">
        <v>8.6763596711306335E-3</v>
      </c>
      <c r="CF59">
        <v>4.6575342465753428E-2</v>
      </c>
      <c r="CG59">
        <v>1021263</v>
      </c>
      <c r="CH59">
        <v>2</v>
      </c>
      <c r="CI59">
        <v>0</v>
      </c>
      <c r="CJ59">
        <v>63.00232249239496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850058</v>
      </c>
      <c r="DC59">
        <v>1</v>
      </c>
      <c r="DD59">
        <v>0</v>
      </c>
      <c r="DE59">
        <v>0.75759454010873584</v>
      </c>
      <c r="DF59">
        <v>0</v>
      </c>
      <c r="DG59">
        <v>0</v>
      </c>
      <c r="DH59">
        <v>0</v>
      </c>
      <c r="DI59">
        <v>486.43188608464209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</row>
    <row r="60" spans="1:126">
      <c r="A60">
        <v>1066029</v>
      </c>
      <c r="B60">
        <v>0</v>
      </c>
      <c r="C60">
        <v>592.36728782973773</v>
      </c>
      <c r="D60">
        <v>1.2690774639110006E-2</v>
      </c>
      <c r="F60">
        <v>1.78573284295461</v>
      </c>
      <c r="G60">
        <v>850059</v>
      </c>
      <c r="H60">
        <v>0.27300177271236681</v>
      </c>
      <c r="I60">
        <v>675.21957100753696</v>
      </c>
      <c r="J60">
        <v>1.1982175805783946E-2</v>
      </c>
      <c r="L60">
        <v>4.9315068493150684E-2</v>
      </c>
      <c r="M60">
        <v>1066029</v>
      </c>
      <c r="N60">
        <v>0</v>
      </c>
      <c r="O60">
        <v>571.95038293042523</v>
      </c>
      <c r="P60">
        <v>1.2438571243756802E-2</v>
      </c>
      <c r="R60">
        <v>1.7225922207981865</v>
      </c>
      <c r="S60">
        <v>850059</v>
      </c>
      <c r="T60">
        <v>3.6757414987396544</v>
      </c>
      <c r="U60">
        <v>677.95342800612127</v>
      </c>
      <c r="V60">
        <v>1.2484640406720093E-2</v>
      </c>
      <c r="X60">
        <v>4.9315068493150684E-2</v>
      </c>
      <c r="Y60">
        <v>1066029</v>
      </c>
      <c r="Z60">
        <v>0</v>
      </c>
      <c r="AA60">
        <v>598.22399999999993</v>
      </c>
      <c r="AB60">
        <v>1.2718698841288401E-2</v>
      </c>
      <c r="AD60">
        <v>1.8038605230386051</v>
      </c>
      <c r="AE60">
        <v>850059</v>
      </c>
      <c r="AF60">
        <v>0</v>
      </c>
      <c r="AG60">
        <v>675</v>
      </c>
      <c r="AH60">
        <v>1.1669720964005394E-2</v>
      </c>
      <c r="AJ60">
        <v>4.9315068493150684E-2</v>
      </c>
      <c r="AK60">
        <v>1066029</v>
      </c>
      <c r="AL60">
        <v>0</v>
      </c>
      <c r="AM60">
        <v>576.00733749615438</v>
      </c>
      <c r="AN60">
        <v>1.2473360997339795E-2</v>
      </c>
      <c r="AP60">
        <v>1.7351318822395492</v>
      </c>
      <c r="AQ60">
        <v>850059</v>
      </c>
      <c r="AR60">
        <v>5.3147263680429049</v>
      </c>
      <c r="AS60">
        <v>679.26831326210913</v>
      </c>
      <c r="AT60">
        <v>1.2300237455854504E-2</v>
      </c>
      <c r="AV60">
        <v>4.9315068493150684E-2</v>
      </c>
      <c r="AW60">
        <v>1066029</v>
      </c>
      <c r="AX60">
        <v>0</v>
      </c>
      <c r="AY60">
        <v>598.22399999999993</v>
      </c>
      <c r="AZ60">
        <v>1.2750143864958758E-2</v>
      </c>
      <c r="BB60">
        <v>1.8038605230386051</v>
      </c>
      <c r="BC60">
        <v>850059</v>
      </c>
      <c r="BD60">
        <v>0</v>
      </c>
      <c r="BE60">
        <v>675</v>
      </c>
      <c r="BF60">
        <v>1.179739932885906E-2</v>
      </c>
      <c r="BH60">
        <v>4.9315068493150684E-2</v>
      </c>
      <c r="BI60">
        <v>1066029</v>
      </c>
      <c r="BJ60">
        <v>0</v>
      </c>
      <c r="BK60">
        <v>598.22399999999993</v>
      </c>
      <c r="BL60">
        <v>1.2797877802498714E-2</v>
      </c>
      <c r="BN60">
        <v>1.8038605230386051</v>
      </c>
      <c r="BO60">
        <v>850059</v>
      </c>
      <c r="BP60">
        <v>0</v>
      </c>
      <c r="BQ60">
        <v>675.00000000000023</v>
      </c>
      <c r="BR60">
        <v>1.2016021361815758E-2</v>
      </c>
      <c r="BT60">
        <v>4.9315068493150684E-2</v>
      </c>
      <c r="BU60">
        <v>1066029</v>
      </c>
      <c r="BV60">
        <v>0</v>
      </c>
      <c r="BW60">
        <v>581.41983714594244</v>
      </c>
      <c r="BX60">
        <v>1.2522773205236865E-2</v>
      </c>
      <c r="BZ60">
        <v>1.7518666424034801</v>
      </c>
      <c r="CA60">
        <v>850059</v>
      </c>
      <c r="CB60">
        <v>4.2876659508636115</v>
      </c>
      <c r="CC60">
        <v>678.44449396352536</v>
      </c>
      <c r="CD60">
        <v>1.2101897824932224E-2</v>
      </c>
      <c r="CF60">
        <v>4.9315068493150684E-2</v>
      </c>
      <c r="CG60">
        <v>1066029</v>
      </c>
      <c r="CH60">
        <v>2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27.207192918110866</v>
      </c>
      <c r="CO60">
        <v>0</v>
      </c>
      <c r="CP60">
        <v>570.40202848033312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850059</v>
      </c>
      <c r="DC60">
        <v>1</v>
      </c>
      <c r="DD60">
        <v>0</v>
      </c>
      <c r="DE60">
        <v>0.27300177271236681</v>
      </c>
      <c r="DF60">
        <v>706.95283580310399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</row>
    <row r="61" spans="1:126">
      <c r="A61">
        <v>1066030</v>
      </c>
      <c r="B61">
        <v>0</v>
      </c>
      <c r="C61">
        <v>1777.4564238132116</v>
      </c>
      <c r="D61">
        <v>3.8079919956578431E-2</v>
      </c>
      <c r="F61">
        <v>1.7517896764736629</v>
      </c>
      <c r="G61">
        <v>850063</v>
      </c>
      <c r="H61">
        <v>0.16080449358906179</v>
      </c>
      <c r="I61">
        <v>200.14593671581852</v>
      </c>
      <c r="J61">
        <v>3.5517095527366998E-3</v>
      </c>
      <c r="L61">
        <v>4.6575342465753428E-2</v>
      </c>
      <c r="M61">
        <v>1066030</v>
      </c>
      <c r="N61">
        <v>0</v>
      </c>
      <c r="O61">
        <v>1717.3530625966389</v>
      </c>
      <c r="P61">
        <v>3.7348376812592732E-2</v>
      </c>
      <c r="R61">
        <v>1.6890734620516099</v>
      </c>
      <c r="S61">
        <v>850063</v>
      </c>
      <c r="T61">
        <v>2.1772428497534246</v>
      </c>
      <c r="U61">
        <v>201.97409901091055</v>
      </c>
      <c r="V61">
        <v>3.7193911756424241E-3</v>
      </c>
      <c r="X61">
        <v>4.6575342465753428E-2</v>
      </c>
      <c r="Y61">
        <v>1066030</v>
      </c>
      <c r="Z61">
        <v>0</v>
      </c>
      <c r="AA61">
        <v>1794.6720000000014</v>
      </c>
      <c r="AB61">
        <v>3.8156096523865236E-2</v>
      </c>
      <c r="AD61">
        <v>1.7697719169552533</v>
      </c>
      <c r="AE61">
        <v>850063</v>
      </c>
      <c r="AF61">
        <v>0</v>
      </c>
      <c r="AG61">
        <v>200</v>
      </c>
      <c r="AH61">
        <v>3.4576951004460428E-3</v>
      </c>
      <c r="AJ61">
        <v>4.6575342465753428E-2</v>
      </c>
      <c r="AK61">
        <v>1066030</v>
      </c>
      <c r="AL61">
        <v>0</v>
      </c>
      <c r="AM61">
        <v>1729.2193236563885</v>
      </c>
      <c r="AN61">
        <v>3.7446010603442874E-2</v>
      </c>
      <c r="AP61">
        <v>1.7014475972714795</v>
      </c>
      <c r="AQ61">
        <v>850063</v>
      </c>
      <c r="AR61">
        <v>3.150538761902677</v>
      </c>
      <c r="AS61">
        <v>202.85530073754055</v>
      </c>
      <c r="AT61">
        <v>3.6733177737494666E-3</v>
      </c>
      <c r="AV61">
        <v>4.6575342465753428E-2</v>
      </c>
      <c r="AW61">
        <v>1066030</v>
      </c>
      <c r="AX61">
        <v>0</v>
      </c>
      <c r="AY61">
        <v>1794.6720000000014</v>
      </c>
      <c r="AZ61">
        <v>3.8250431594876302E-2</v>
      </c>
      <c r="BB61">
        <v>1.7697719169552533</v>
      </c>
      <c r="BC61">
        <v>850063</v>
      </c>
      <c r="BD61">
        <v>0</v>
      </c>
      <c r="BE61">
        <v>200</v>
      </c>
      <c r="BF61">
        <v>3.4955257270693511E-3</v>
      </c>
      <c r="BH61">
        <v>4.6575342465753428E-2</v>
      </c>
      <c r="BI61">
        <v>1066030</v>
      </c>
      <c r="BJ61">
        <v>0</v>
      </c>
      <c r="BK61">
        <v>1794.6720000000014</v>
      </c>
      <c r="BL61">
        <v>3.8393633407496179E-2</v>
      </c>
      <c r="BN61">
        <v>1.7697719169552533</v>
      </c>
      <c r="BO61">
        <v>850063</v>
      </c>
      <c r="BP61">
        <v>0</v>
      </c>
      <c r="BQ61">
        <v>199.99999999999997</v>
      </c>
      <c r="BR61">
        <v>3.5603026257231859E-3</v>
      </c>
      <c r="BT61">
        <v>4.6575342465753428E-2</v>
      </c>
      <c r="BU61">
        <v>1066030</v>
      </c>
      <c r="BV61">
        <v>0</v>
      </c>
      <c r="BW61">
        <v>1745.1492339414451</v>
      </c>
      <c r="BX61">
        <v>3.7587482692744728E-2</v>
      </c>
      <c r="BZ61">
        <v>1.7180655328099355</v>
      </c>
      <c r="CA61">
        <v>850063</v>
      </c>
      <c r="CB61">
        <v>2.5421149284600375</v>
      </c>
      <c r="CC61">
        <v>202.30453928661035</v>
      </c>
      <c r="CD61">
        <v>3.60865020757051E-3</v>
      </c>
      <c r="CF61">
        <v>4.6575342465753428E-2</v>
      </c>
      <c r="CG61">
        <v>1066030</v>
      </c>
      <c r="CH61">
        <v>2</v>
      </c>
      <c r="CI61">
        <v>0</v>
      </c>
      <c r="CJ61">
        <v>0</v>
      </c>
      <c r="CK61">
        <v>20.562569301672745</v>
      </c>
      <c r="CL61">
        <v>19.892994584673602</v>
      </c>
      <c r="CM61">
        <v>20.566203901104686</v>
      </c>
      <c r="CN61">
        <v>20.573110261366246</v>
      </c>
      <c r="CO61">
        <v>40.474828717204765</v>
      </c>
      <c r="CP61">
        <v>1670.815041349985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850063</v>
      </c>
      <c r="DC61">
        <v>2</v>
      </c>
      <c r="DD61">
        <v>0</v>
      </c>
      <c r="DE61">
        <v>0.16080449358906179</v>
      </c>
      <c r="DF61">
        <v>0</v>
      </c>
      <c r="DG61">
        <v>209.47390144715254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</row>
    <row r="62" spans="1:126">
      <c r="A62">
        <v>1081513</v>
      </c>
      <c r="B62">
        <v>0</v>
      </c>
      <c r="C62">
        <v>1205.3041185768511</v>
      </c>
      <c r="D62">
        <v>2.5822227619102581E-2</v>
      </c>
      <c r="F62">
        <v>0.25009334534581351</v>
      </c>
      <c r="G62">
        <v>852394</v>
      </c>
      <c r="H62">
        <v>0.1449662944219221</v>
      </c>
      <c r="I62">
        <v>110.51503708204528</v>
      </c>
      <c r="J62">
        <v>1.9611555416319789E-3</v>
      </c>
      <c r="L62">
        <v>5.8768648966661091E-2</v>
      </c>
      <c r="M62">
        <v>1081513</v>
      </c>
      <c r="N62">
        <v>0</v>
      </c>
      <c r="O62">
        <v>1205.2071151030054</v>
      </c>
      <c r="P62">
        <v>2.6210410923905126E-2</v>
      </c>
      <c r="R62">
        <v>0.24906063831133848</v>
      </c>
      <c r="S62">
        <v>852394</v>
      </c>
      <c r="T62">
        <v>1.2540073903123217</v>
      </c>
      <c r="U62">
        <v>111.49381787588243</v>
      </c>
      <c r="V62">
        <v>2.0531797115423168E-3</v>
      </c>
      <c r="X62">
        <v>5.8093023957908288E-2</v>
      </c>
      <c r="Y62">
        <v>1081513</v>
      </c>
      <c r="Z62">
        <v>0</v>
      </c>
      <c r="AA62">
        <v>1205.398356164384</v>
      </c>
      <c r="AB62">
        <v>2.5627689086092996E-2</v>
      </c>
      <c r="AD62">
        <v>0.25062480791049246</v>
      </c>
      <c r="AE62">
        <v>852394</v>
      </c>
      <c r="AF62">
        <v>5.5452054794511429E-2</v>
      </c>
      <c r="AG62">
        <v>110.44030136986296</v>
      </c>
      <c r="AH62">
        <v>1.9093444446917978E-3</v>
      </c>
      <c r="AJ62">
        <v>5.9021482292427423E-2</v>
      </c>
      <c r="AK62">
        <v>1081513</v>
      </c>
      <c r="AL62">
        <v>0</v>
      </c>
      <c r="AM62">
        <v>1205.3168658730713</v>
      </c>
      <c r="AN62">
        <v>2.6100973729900414E-2</v>
      </c>
      <c r="AP62">
        <v>0.24931151128491669</v>
      </c>
      <c r="AQ62">
        <v>852394</v>
      </c>
      <c r="AR62">
        <v>1.7870699608426488</v>
      </c>
      <c r="AS62">
        <v>111.97287914372339</v>
      </c>
      <c r="AT62">
        <v>2.0276126166833873E-3</v>
      </c>
      <c r="AV62">
        <v>5.8165501636274791E-2</v>
      </c>
      <c r="AW62">
        <v>1081513</v>
      </c>
      <c r="AX62">
        <v>0</v>
      </c>
      <c r="AY62">
        <v>1205.3760219945511</v>
      </c>
      <c r="AZ62">
        <v>2.5690573584146104E-2</v>
      </c>
      <c r="BB62">
        <v>0.25051519868078465</v>
      </c>
      <c r="BC62">
        <v>852394</v>
      </c>
      <c r="BD62">
        <v>5.5452054794511429E-2</v>
      </c>
      <c r="BE62">
        <v>110.43989061495552</v>
      </c>
      <c r="BF62">
        <v>1.9302273946965099E-3</v>
      </c>
      <c r="BH62">
        <v>5.9002835958706562E-2</v>
      </c>
      <c r="BI62">
        <v>1081513</v>
      </c>
      <c r="BJ62">
        <v>0</v>
      </c>
      <c r="BK62">
        <v>1205.3066846653892</v>
      </c>
      <c r="BL62">
        <v>2.5785270508843685E-2</v>
      </c>
      <c r="BN62">
        <v>0.25018023123594274</v>
      </c>
      <c r="BO62">
        <v>852394</v>
      </c>
      <c r="BP62">
        <v>5.5452054794511429E-2</v>
      </c>
      <c r="BQ62">
        <v>110.43703150152415</v>
      </c>
      <c r="BR62">
        <v>1.9659462661597532E-3</v>
      </c>
      <c r="BT62">
        <v>5.8873974663870385E-2</v>
      </c>
      <c r="BU62">
        <v>1081513</v>
      </c>
      <c r="BV62">
        <v>0</v>
      </c>
      <c r="BW62">
        <v>1205.3625996792937</v>
      </c>
      <c r="BX62">
        <v>2.5961416349249256E-2</v>
      </c>
      <c r="BZ62">
        <v>0.24969905050513388</v>
      </c>
      <c r="CA62">
        <v>852394</v>
      </c>
      <c r="CB62">
        <v>1.4522118343340185</v>
      </c>
      <c r="CC62">
        <v>111.67877399178036</v>
      </c>
      <c r="CD62">
        <v>1.992093861896512E-3</v>
      </c>
      <c r="CF62">
        <v>5.840373636998579E-2</v>
      </c>
      <c r="CG62">
        <v>1081513</v>
      </c>
      <c r="CH62">
        <v>2</v>
      </c>
      <c r="CI62">
        <v>0</v>
      </c>
      <c r="CJ62">
        <v>0</v>
      </c>
      <c r="CK62">
        <v>1277.3295701213121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852394</v>
      </c>
      <c r="DC62">
        <v>1</v>
      </c>
      <c r="DD62">
        <v>0</v>
      </c>
      <c r="DE62">
        <v>0.1449662944219221</v>
      </c>
      <c r="DF62">
        <v>0</v>
      </c>
      <c r="DG62">
        <v>114.21356390481859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</row>
    <row r="63" spans="1:126">
      <c r="A63">
        <v>1081514</v>
      </c>
      <c r="B63">
        <v>0</v>
      </c>
      <c r="C63">
        <v>260.39704819171652</v>
      </c>
      <c r="D63">
        <v>5.5787014630699601E-3</v>
      </c>
      <c r="F63">
        <v>0.48566583471069663</v>
      </c>
      <c r="G63">
        <v>855580</v>
      </c>
      <c r="H63">
        <v>10.422465753424779</v>
      </c>
      <c r="I63">
        <v>969.80770941489834</v>
      </c>
      <c r="J63">
        <v>1.7209818807050296E-2</v>
      </c>
      <c r="L63">
        <v>3.8875714626143822</v>
      </c>
      <c r="M63">
        <v>1081514</v>
      </c>
      <c r="N63">
        <v>0</v>
      </c>
      <c r="O63">
        <v>260.44588659173513</v>
      </c>
      <c r="P63">
        <v>5.6640834803126251E-3</v>
      </c>
      <c r="R63">
        <v>0.4856176185527305</v>
      </c>
      <c r="S63">
        <v>855580</v>
      </c>
      <c r="T63">
        <v>10.422465753424779</v>
      </c>
      <c r="U63">
        <v>900.3042621124165</v>
      </c>
      <c r="V63">
        <v>1.6579273007244839E-2</v>
      </c>
      <c r="X63">
        <v>3.5724940877923022</v>
      </c>
      <c r="Y63">
        <v>1081514</v>
      </c>
      <c r="Z63">
        <v>0</v>
      </c>
      <c r="AA63">
        <v>260.3889315068493</v>
      </c>
      <c r="AB63">
        <v>5.5360674286563053E-3</v>
      </c>
      <c r="AD63">
        <v>0.4856804034711274</v>
      </c>
      <c r="AE63">
        <v>855580</v>
      </c>
      <c r="AF63">
        <v>10.422465753424779</v>
      </c>
      <c r="AG63">
        <v>1023.4408219178109</v>
      </c>
      <c r="AH63">
        <v>1.7693731577708427E-2</v>
      </c>
      <c r="AJ63">
        <v>4.1324572923685876</v>
      </c>
      <c r="AK63">
        <v>1081514</v>
      </c>
      <c r="AL63">
        <v>0</v>
      </c>
      <c r="AM63">
        <v>260.46317138193615</v>
      </c>
      <c r="AN63">
        <v>5.6402947526350972E-3</v>
      </c>
      <c r="AP63">
        <v>0.4856131836892319</v>
      </c>
      <c r="AQ63">
        <v>855580</v>
      </c>
      <c r="AR63">
        <v>10.422465753424779</v>
      </c>
      <c r="AS63">
        <v>932.38450441187251</v>
      </c>
      <c r="AT63">
        <v>1.6883682898954668E-2</v>
      </c>
      <c r="AV63">
        <v>3.717591003590921</v>
      </c>
      <c r="AW63">
        <v>1081514</v>
      </c>
      <c r="AX63">
        <v>0</v>
      </c>
      <c r="AY63">
        <v>260.3889315068493</v>
      </c>
      <c r="AZ63">
        <v>5.5497545025863576E-3</v>
      </c>
      <c r="BB63">
        <v>0.4856804034711274</v>
      </c>
      <c r="BC63">
        <v>855580</v>
      </c>
      <c r="BD63">
        <v>10.422465753424779</v>
      </c>
      <c r="BE63">
        <v>1002.0566751297242</v>
      </c>
      <c r="BF63">
        <v>1.7513574439487631E-2</v>
      </c>
      <c r="BH63">
        <v>4.0346432258481926</v>
      </c>
      <c r="BI63">
        <v>1081514</v>
      </c>
      <c r="BJ63">
        <v>0</v>
      </c>
      <c r="BK63">
        <v>260.3889315068493</v>
      </c>
      <c r="BL63">
        <v>5.5705316512675278E-3</v>
      </c>
      <c r="BN63">
        <v>0.4856804034711274</v>
      </c>
      <c r="BO63">
        <v>855580</v>
      </c>
      <c r="BP63">
        <v>10.422465753424779</v>
      </c>
      <c r="BQ63">
        <v>961.47209115839462</v>
      </c>
      <c r="BR63">
        <v>1.7115658053553976E-2</v>
      </c>
      <c r="BT63">
        <v>3.8496450021437152</v>
      </c>
      <c r="BU63">
        <v>1081514</v>
      </c>
      <c r="BV63">
        <v>0</v>
      </c>
      <c r="BW63">
        <v>260.44800819837235</v>
      </c>
      <c r="BX63">
        <v>5.6095976264483914E-3</v>
      </c>
      <c r="BZ63">
        <v>0.48562901984649953</v>
      </c>
      <c r="CA63">
        <v>855580</v>
      </c>
      <c r="CB63">
        <v>10.422465753424779</v>
      </c>
      <c r="CC63">
        <v>960.90303811795889</v>
      </c>
      <c r="CD63">
        <v>1.7140312126397297E-2</v>
      </c>
      <c r="CF63">
        <v>3.8470571965094855</v>
      </c>
      <c r="CG63">
        <v>1081514</v>
      </c>
      <c r="CH63">
        <v>2</v>
      </c>
      <c r="CI63">
        <v>0</v>
      </c>
      <c r="CJ63">
        <v>0</v>
      </c>
      <c r="CK63">
        <v>0</v>
      </c>
      <c r="CL63">
        <v>262.49144643652733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855580</v>
      </c>
      <c r="DC63">
        <v>1</v>
      </c>
      <c r="DD63">
        <v>0</v>
      </c>
      <c r="DE63">
        <v>10.422465753424779</v>
      </c>
      <c r="DF63">
        <v>0</v>
      </c>
      <c r="DG63">
        <v>10.082602739726063</v>
      </c>
      <c r="DH63">
        <v>10.422465753424779</v>
      </c>
      <c r="DI63">
        <v>10.422465753424779</v>
      </c>
      <c r="DJ63">
        <v>20.505068493150844</v>
      </c>
      <c r="DK63">
        <v>20.844931506849559</v>
      </c>
      <c r="DL63">
        <v>41.463287671233246</v>
      </c>
      <c r="DM63">
        <v>41.350000000000406</v>
      </c>
      <c r="DN63">
        <v>857.92753424657565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</row>
    <row r="64" spans="1:126">
      <c r="A64">
        <v>1081515</v>
      </c>
      <c r="B64">
        <v>0</v>
      </c>
      <c r="C64">
        <v>550.09771239940756</v>
      </c>
      <c r="D64">
        <v>1.1785198543167032E-2</v>
      </c>
      <c r="F64">
        <v>0.48590797874453356</v>
      </c>
      <c r="G64">
        <v>855581</v>
      </c>
      <c r="H64">
        <v>2.2684931506849382</v>
      </c>
      <c r="I64">
        <v>103.47569451906033</v>
      </c>
      <c r="J64">
        <v>1.8362381906420417E-3</v>
      </c>
      <c r="L64">
        <v>2.7676079609884137</v>
      </c>
      <c r="M64">
        <v>1081515</v>
      </c>
      <c r="N64">
        <v>0</v>
      </c>
      <c r="O64">
        <v>555.64859901530917</v>
      </c>
      <c r="P64">
        <v>1.2084045909601783E-2</v>
      </c>
      <c r="R64">
        <v>0.48583049624374003</v>
      </c>
      <c r="S64">
        <v>855581</v>
      </c>
      <c r="T64">
        <v>2.2684931506849382</v>
      </c>
      <c r="U64">
        <v>98.065647886069144</v>
      </c>
      <c r="V64">
        <v>1.8058974253000598E-3</v>
      </c>
      <c r="X64">
        <v>2.6074084146495204</v>
      </c>
      <c r="Y64">
        <v>1081515</v>
      </c>
      <c r="Z64">
        <v>0</v>
      </c>
      <c r="AA64">
        <v>549.09599999999978</v>
      </c>
      <c r="AB64">
        <v>1.1674200063782284E-2</v>
      </c>
      <c r="AD64">
        <v>0.48592951084269936</v>
      </c>
      <c r="AE64">
        <v>855581</v>
      </c>
      <c r="AF64">
        <v>2.2684931506849382</v>
      </c>
      <c r="AG64">
        <v>105.78082191780821</v>
      </c>
      <c r="AH64">
        <v>1.828789148331804E-3</v>
      </c>
      <c r="AJ64">
        <v>2.836061883322337</v>
      </c>
      <c r="AK64">
        <v>1081515</v>
      </c>
      <c r="AL64">
        <v>0</v>
      </c>
      <c r="AM64">
        <v>557.45508093504759</v>
      </c>
      <c r="AN64">
        <v>1.2071614390416588E-2</v>
      </c>
      <c r="AP64">
        <v>0.4858248094604497</v>
      </c>
      <c r="AQ64">
        <v>855581</v>
      </c>
      <c r="AR64">
        <v>2.2684931506849382</v>
      </c>
      <c r="AS64">
        <v>99.53883810364843</v>
      </c>
      <c r="AT64">
        <v>1.8024561441338626E-3</v>
      </c>
      <c r="AV64">
        <v>2.6509662495328277</v>
      </c>
      <c r="AW64">
        <v>1081515</v>
      </c>
      <c r="AX64">
        <v>0</v>
      </c>
      <c r="AY64">
        <v>549.09599999999978</v>
      </c>
      <c r="AZ64">
        <v>1.1703062725122015E-2</v>
      </c>
      <c r="BB64">
        <v>0.48592951084269936</v>
      </c>
      <c r="BC64">
        <v>855581</v>
      </c>
      <c r="BD64">
        <v>2.2684931506849382</v>
      </c>
      <c r="BE64">
        <v>105.72017572561504</v>
      </c>
      <c r="BF64">
        <v>1.8477379705959004E-3</v>
      </c>
      <c r="BH64">
        <v>2.8342594616289749</v>
      </c>
      <c r="BI64">
        <v>1081515</v>
      </c>
      <c r="BJ64">
        <v>0</v>
      </c>
      <c r="BK64">
        <v>549.09599999999978</v>
      </c>
      <c r="BL64">
        <v>1.1746876604483994E-2</v>
      </c>
      <c r="BN64">
        <v>0.48592951084269936</v>
      </c>
      <c r="BO64">
        <v>855581</v>
      </c>
      <c r="BP64">
        <v>2.2684931506849382</v>
      </c>
      <c r="BQ64">
        <v>104.06744661280293</v>
      </c>
      <c r="BR64">
        <v>1.852558017139349E-3</v>
      </c>
      <c r="BT64">
        <v>2.7851699784942836</v>
      </c>
      <c r="BU64">
        <v>1081515</v>
      </c>
      <c r="BV64">
        <v>0</v>
      </c>
      <c r="BW64">
        <v>555.71774451395538</v>
      </c>
      <c r="BX64">
        <v>1.1969194781579517E-2</v>
      </c>
      <c r="BZ64">
        <v>0.48585021464088479</v>
      </c>
      <c r="CA64">
        <v>855581</v>
      </c>
      <c r="CB64">
        <v>2.2684931506849382</v>
      </c>
      <c r="CC64">
        <v>101.5802938364033</v>
      </c>
      <c r="CD64">
        <v>1.8119600762812526E-3</v>
      </c>
      <c r="CF64">
        <v>2.7114077181959839</v>
      </c>
      <c r="CG64">
        <v>1081515</v>
      </c>
      <c r="CH64">
        <v>2</v>
      </c>
      <c r="CI64">
        <v>0</v>
      </c>
      <c r="CJ64">
        <v>0</v>
      </c>
      <c r="CK64">
        <v>0</v>
      </c>
      <c r="CL64">
        <v>2.5065573393466645</v>
      </c>
      <c r="CM64">
        <v>0</v>
      </c>
      <c r="CN64">
        <v>552.01289825421463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855581</v>
      </c>
      <c r="DC64">
        <v>1</v>
      </c>
      <c r="DD64">
        <v>0</v>
      </c>
      <c r="DE64">
        <v>2.2684931506849382</v>
      </c>
      <c r="DF64">
        <v>0</v>
      </c>
      <c r="DG64">
        <v>0</v>
      </c>
      <c r="DH64">
        <v>2.2315068493150658</v>
      </c>
      <c r="DI64">
        <v>0</v>
      </c>
      <c r="DJ64">
        <v>2.2684931506849382</v>
      </c>
      <c r="DK64">
        <v>2.2315068493150658</v>
      </c>
      <c r="DL64">
        <v>4.5123287671232877</v>
      </c>
      <c r="DM64">
        <v>92.268493150684932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</row>
    <row r="65" spans="1:126">
      <c r="A65">
        <v>1083051</v>
      </c>
      <c r="B65">
        <v>0</v>
      </c>
      <c r="C65">
        <v>2276.1265938786755</v>
      </c>
      <c r="D65">
        <v>4.8763343699866644E-2</v>
      </c>
      <c r="F65">
        <v>2.0157359912891013</v>
      </c>
      <c r="G65">
        <v>863468</v>
      </c>
      <c r="H65">
        <v>0</v>
      </c>
      <c r="I65">
        <v>501.12736979996333</v>
      </c>
      <c r="J65">
        <v>8.8928053982105931E-3</v>
      </c>
      <c r="L65">
        <v>0.24056554062604454</v>
      </c>
      <c r="M65">
        <v>1083051</v>
      </c>
      <c r="N65">
        <v>0</v>
      </c>
      <c r="O65">
        <v>2188.0865980710105</v>
      </c>
      <c r="P65">
        <v>4.7585720457374851E-2</v>
      </c>
      <c r="R65">
        <v>1.9302847557933756</v>
      </c>
      <c r="S65">
        <v>863468</v>
      </c>
      <c r="T65">
        <v>0</v>
      </c>
      <c r="U65">
        <v>501.18243614197871</v>
      </c>
      <c r="V65">
        <v>9.2293692087357729E-3</v>
      </c>
      <c r="X65">
        <v>0.24041582234568842</v>
      </c>
      <c r="Y65">
        <v>1083051</v>
      </c>
      <c r="Z65">
        <v>0</v>
      </c>
      <c r="AA65">
        <v>2300.2739726027398</v>
      </c>
      <c r="AB65">
        <v>4.8905580367869454E-2</v>
      </c>
      <c r="AD65">
        <v>2.0392055577672346</v>
      </c>
      <c r="AE65">
        <v>863468</v>
      </c>
      <c r="AF65">
        <v>0</v>
      </c>
      <c r="AG65">
        <v>501.12465753424686</v>
      </c>
      <c r="AH65">
        <v>8.6636813653443324E-3</v>
      </c>
      <c r="AJ65">
        <v>0.24060728406007206</v>
      </c>
      <c r="AK65">
        <v>1083051</v>
      </c>
      <c r="AL65">
        <v>0</v>
      </c>
      <c r="AM65">
        <v>2197.9111485763337</v>
      </c>
      <c r="AN65">
        <v>4.7595468688718549E-2</v>
      </c>
      <c r="AP65">
        <v>1.9398110702107065</v>
      </c>
      <c r="AQ65">
        <v>863468</v>
      </c>
      <c r="AR65">
        <v>0</v>
      </c>
      <c r="AS65">
        <v>501.21524332939094</v>
      </c>
      <c r="AT65">
        <v>9.0760401877696458E-3</v>
      </c>
      <c r="AV65">
        <v>0.24041291995812331</v>
      </c>
      <c r="AW65">
        <v>1083051</v>
      </c>
      <c r="AX65">
        <v>0</v>
      </c>
      <c r="AY65">
        <v>2300.2739726027398</v>
      </c>
      <c r="AZ65">
        <v>4.9026491881812052E-2</v>
      </c>
      <c r="BB65">
        <v>2.0392055577672346</v>
      </c>
      <c r="BC65">
        <v>863468</v>
      </c>
      <c r="BD65">
        <v>0</v>
      </c>
      <c r="BE65">
        <v>501.12465753424686</v>
      </c>
      <c r="BF65">
        <v>8.7584706643988892E-3</v>
      </c>
      <c r="BH65">
        <v>0.24060728406007206</v>
      </c>
      <c r="BI65">
        <v>1083051</v>
      </c>
      <c r="BJ65">
        <v>0</v>
      </c>
      <c r="BK65">
        <v>2295.8811840586832</v>
      </c>
      <c r="BL65">
        <v>4.9116061613440939E-2</v>
      </c>
      <c r="BN65">
        <v>2.0349350659944365</v>
      </c>
      <c r="BO65">
        <v>863468</v>
      </c>
      <c r="BP65">
        <v>0</v>
      </c>
      <c r="BQ65">
        <v>501.12427569642006</v>
      </c>
      <c r="BR65">
        <v>8.9207703728779713E-3</v>
      </c>
      <c r="BT65">
        <v>0.24060502069879605</v>
      </c>
      <c r="BU65">
        <v>1083051</v>
      </c>
      <c r="BV65">
        <v>0</v>
      </c>
      <c r="BW65">
        <v>2229.2175681078911</v>
      </c>
      <c r="BX65">
        <v>4.8013473650259347E-2</v>
      </c>
      <c r="BZ65">
        <v>1.9701829803014987</v>
      </c>
      <c r="CA65">
        <v>863468</v>
      </c>
      <c r="CB65">
        <v>0</v>
      </c>
      <c r="CC65">
        <v>501.19928559571161</v>
      </c>
      <c r="CD65">
        <v>8.9402487575268308E-3</v>
      </c>
      <c r="CF65">
        <v>0.24046327298252326</v>
      </c>
      <c r="CG65">
        <v>1083051</v>
      </c>
      <c r="CH65">
        <v>2</v>
      </c>
      <c r="CI65">
        <v>0</v>
      </c>
      <c r="CJ65">
        <v>0</v>
      </c>
      <c r="CK65">
        <v>100.00000000000009</v>
      </c>
      <c r="CL65">
        <v>0</v>
      </c>
      <c r="CM65">
        <v>0</v>
      </c>
      <c r="CN65">
        <v>0</v>
      </c>
      <c r="CO65">
        <v>100.00000000000009</v>
      </c>
      <c r="CP65">
        <v>0</v>
      </c>
      <c r="CQ65">
        <v>2100.2739726027398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863468</v>
      </c>
      <c r="DC65">
        <v>1</v>
      </c>
      <c r="DD65">
        <v>0</v>
      </c>
      <c r="DE65">
        <v>0</v>
      </c>
      <c r="DF65">
        <v>507.17645934209202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</row>
    <row r="66" spans="1:126">
      <c r="A66">
        <v>1093932</v>
      </c>
      <c r="B66">
        <v>5.2500065235960847E-2</v>
      </c>
      <c r="C66">
        <v>240.88610960015041</v>
      </c>
      <c r="D66">
        <v>5.1607024787400733E-3</v>
      </c>
      <c r="F66">
        <v>4.7425129980773084E-2</v>
      </c>
      <c r="G66">
        <v>863473</v>
      </c>
      <c r="H66">
        <v>0</v>
      </c>
      <c r="I66">
        <v>501.55480991849242</v>
      </c>
      <c r="J66">
        <v>8.9003905791896019E-3</v>
      </c>
      <c r="L66">
        <v>0.24080590132444107</v>
      </c>
      <c r="M66">
        <v>1093932</v>
      </c>
      <c r="N66">
        <v>0.46017129811268376</v>
      </c>
      <c r="O66">
        <v>241.06660191215315</v>
      </c>
      <c r="P66">
        <v>5.2426297662596915E-3</v>
      </c>
      <c r="R66">
        <v>4.6854606691877243E-2</v>
      </c>
      <c r="S66">
        <v>863473</v>
      </c>
      <c r="T66">
        <v>0</v>
      </c>
      <c r="U66">
        <v>504.1127074922764</v>
      </c>
      <c r="V66">
        <v>9.2833307090266909E-3</v>
      </c>
      <c r="X66">
        <v>0.24062165280351763</v>
      </c>
      <c r="Y66">
        <v>1093932</v>
      </c>
      <c r="Z66">
        <v>2.0383561643804171E-2</v>
      </c>
      <c r="AA66">
        <v>240.88043835616389</v>
      </c>
      <c r="AB66">
        <v>5.1213019741929182E-3</v>
      </c>
      <c r="AD66">
        <v>4.7642271375831054E-2</v>
      </c>
      <c r="AE66">
        <v>863473</v>
      </c>
      <c r="AF66">
        <v>0</v>
      </c>
      <c r="AG66">
        <v>501.25068493150673</v>
      </c>
      <c r="AH66">
        <v>8.6658601869144692E-3</v>
      </c>
      <c r="AJ66">
        <v>0.2408567662831464</v>
      </c>
      <c r="AK66">
        <v>1093932</v>
      </c>
      <c r="AL66">
        <v>0.65777348290930959</v>
      </c>
      <c r="AM66">
        <v>241.17272309956081</v>
      </c>
      <c r="AN66">
        <v>5.2225627038169041E-3</v>
      </c>
      <c r="AP66">
        <v>4.6932885029609288E-2</v>
      </c>
      <c r="AQ66">
        <v>863473</v>
      </c>
      <c r="AR66">
        <v>0</v>
      </c>
      <c r="AS66">
        <v>505.17442944912278</v>
      </c>
      <c r="AT66">
        <v>9.1477334030335145E-3</v>
      </c>
      <c r="AV66">
        <v>0.24061741554377328</v>
      </c>
      <c r="AW66">
        <v>1093932</v>
      </c>
      <c r="AX66">
        <v>2.0383561643804171E-2</v>
      </c>
      <c r="AY66">
        <v>240.87978795045416</v>
      </c>
      <c r="AZ66">
        <v>5.1339497421184202E-3</v>
      </c>
      <c r="BB66">
        <v>4.7629203859411752E-2</v>
      </c>
      <c r="BC66">
        <v>863473</v>
      </c>
      <c r="BD66">
        <v>0</v>
      </c>
      <c r="BE66">
        <v>501.25068493150673</v>
      </c>
      <c r="BF66">
        <v>8.760673324446076E-3</v>
      </c>
      <c r="BH66">
        <v>0.2408567662831464</v>
      </c>
      <c r="BI66">
        <v>1093932</v>
      </c>
      <c r="BJ66">
        <v>2.0383561643804171E-2</v>
      </c>
      <c r="BK66">
        <v>240.87443444600191</v>
      </c>
      <c r="BL66">
        <v>5.1530556744395408E-3</v>
      </c>
      <c r="BN66">
        <v>4.752231983195887E-2</v>
      </c>
      <c r="BO66">
        <v>863473</v>
      </c>
      <c r="BP66">
        <v>0</v>
      </c>
      <c r="BQ66">
        <v>501.24991705983308</v>
      </c>
      <c r="BR66">
        <v>8.9230069792582654E-3</v>
      </c>
      <c r="BT66">
        <v>0.24085192818863571</v>
      </c>
      <c r="BU66">
        <v>1093932</v>
      </c>
      <c r="BV66">
        <v>0.5348487698821458</v>
      </c>
      <c r="BW66">
        <v>241.1201880717486</v>
      </c>
      <c r="BX66">
        <v>5.1933099586841973E-3</v>
      </c>
      <c r="BZ66">
        <v>4.7136779916169741E-2</v>
      </c>
      <c r="CA66">
        <v>863473</v>
      </c>
      <c r="CB66">
        <v>0</v>
      </c>
      <c r="CC66">
        <v>504.3916053182536</v>
      </c>
      <c r="CD66">
        <v>8.997192438919277E-3</v>
      </c>
      <c r="CF66">
        <v>0.24067912945935518</v>
      </c>
      <c r="CG66">
        <v>1093932</v>
      </c>
      <c r="CH66">
        <v>2</v>
      </c>
      <c r="CI66">
        <v>0</v>
      </c>
      <c r="CJ66">
        <v>249.66428256178543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863473</v>
      </c>
      <c r="DC66">
        <v>1</v>
      </c>
      <c r="DD66">
        <v>0</v>
      </c>
      <c r="DE66">
        <v>0</v>
      </c>
      <c r="DF66">
        <v>0.84765588005475401</v>
      </c>
      <c r="DG66">
        <v>506.76075983279691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</row>
    <row r="67" spans="1:126">
      <c r="A67">
        <v>1093933</v>
      </c>
      <c r="B67">
        <v>0</v>
      </c>
      <c r="C67">
        <v>747.64308696671287</v>
      </c>
      <c r="D67">
        <v>1.6017376587328082E-2</v>
      </c>
      <c r="F67">
        <v>0.12786798609115682</v>
      </c>
      <c r="G67">
        <v>863750</v>
      </c>
      <c r="H67">
        <v>0</v>
      </c>
      <c r="I67">
        <v>109.42080232269669</v>
      </c>
      <c r="J67">
        <v>1.9417376902806766E-3</v>
      </c>
      <c r="L67">
        <v>9.2115506162109242E-2</v>
      </c>
      <c r="M67">
        <v>1093933</v>
      </c>
      <c r="N67">
        <v>0</v>
      </c>
      <c r="O67">
        <v>749.40509728555503</v>
      </c>
      <c r="P67">
        <v>1.6297792555468555E-2</v>
      </c>
      <c r="R67">
        <v>0.12670655118344623</v>
      </c>
      <c r="S67">
        <v>863750</v>
      </c>
      <c r="T67">
        <v>0</v>
      </c>
      <c r="U67">
        <v>109.4052159372808</v>
      </c>
      <c r="V67">
        <v>2.0147177124151669E-3</v>
      </c>
      <c r="X67">
        <v>9.1420420692869375E-2</v>
      </c>
      <c r="Y67">
        <v>1093933</v>
      </c>
      <c r="Z67">
        <v>0</v>
      </c>
      <c r="AA67">
        <v>747.53654794520628</v>
      </c>
      <c r="AB67">
        <v>1.5893197575108032E-2</v>
      </c>
      <c r="AD67">
        <v>0.12847760065636929</v>
      </c>
      <c r="AE67">
        <v>863750</v>
      </c>
      <c r="AF67">
        <v>0</v>
      </c>
      <c r="AG67">
        <v>109.4270410958902</v>
      </c>
      <c r="AH67">
        <v>1.8918267192678366E-3</v>
      </c>
      <c r="AJ67">
        <v>9.2407491206267164E-2</v>
      </c>
      <c r="AK67">
        <v>1093933</v>
      </c>
      <c r="AL67">
        <v>0</v>
      </c>
      <c r="AM67">
        <v>750.31293113913932</v>
      </c>
      <c r="AN67">
        <v>1.6247925055526091E-2</v>
      </c>
      <c r="AP67">
        <v>0.12698359850193722</v>
      </c>
      <c r="AQ67">
        <v>863750</v>
      </c>
      <c r="AR67">
        <v>0</v>
      </c>
      <c r="AS67">
        <v>109.40800629514884</v>
      </c>
      <c r="AT67">
        <v>1.9811677222792414E-3</v>
      </c>
      <c r="AV67">
        <v>9.1541814766905844E-2</v>
      </c>
      <c r="AW67">
        <v>1093933</v>
      </c>
      <c r="AX67">
        <v>0</v>
      </c>
      <c r="AY67">
        <v>747.51995761635112</v>
      </c>
      <c r="AZ67">
        <v>1.5932137462783758E-2</v>
      </c>
      <c r="BB67">
        <v>0.12834024461532237</v>
      </c>
      <c r="BC67">
        <v>863750</v>
      </c>
      <c r="BD67">
        <v>0</v>
      </c>
      <c r="BE67">
        <v>109.42639666403764</v>
      </c>
      <c r="BF67">
        <v>1.912513923798197E-3</v>
      </c>
      <c r="BH67">
        <v>9.2376958394998987E-2</v>
      </c>
      <c r="BI67">
        <v>1093933</v>
      </c>
      <c r="BJ67">
        <v>0</v>
      </c>
      <c r="BK67">
        <v>747.47218510896482</v>
      </c>
      <c r="BL67">
        <v>1.5990762132230121E-2</v>
      </c>
      <c r="BN67">
        <v>0.12795138972117526</v>
      </c>
      <c r="BO67">
        <v>863750</v>
      </c>
      <c r="BP67">
        <v>0</v>
      </c>
      <c r="BQ67">
        <v>109.42298237140491</v>
      </c>
      <c r="BR67">
        <v>1.9478946572568743E-3</v>
      </c>
      <c r="BT67">
        <v>9.221660003807107E-2</v>
      </c>
      <c r="BU67">
        <v>1093933</v>
      </c>
      <c r="BV67">
        <v>0</v>
      </c>
      <c r="BW67">
        <v>749.78992840421347</v>
      </c>
      <c r="BX67">
        <v>1.6149172465575685E-2</v>
      </c>
      <c r="BZ67">
        <v>0.12741917430698727</v>
      </c>
      <c r="CA67">
        <v>863750</v>
      </c>
      <c r="CB67">
        <v>0</v>
      </c>
      <c r="CC67">
        <v>109.41372133474971</v>
      </c>
      <c r="CD67">
        <v>1.9516905038217246E-3</v>
      </c>
      <c r="CF67">
        <v>9.1794312206776529E-2</v>
      </c>
      <c r="CG67">
        <v>1093933</v>
      </c>
      <c r="CH67">
        <v>2</v>
      </c>
      <c r="CI67">
        <v>0</v>
      </c>
      <c r="CJ67">
        <v>0</v>
      </c>
      <c r="CK67">
        <v>795.26839027865151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863750</v>
      </c>
      <c r="DC67">
        <v>1</v>
      </c>
      <c r="DD67">
        <v>0</v>
      </c>
      <c r="DE67">
        <v>114.20271523468398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</row>
    <row r="68" spans="1:126">
      <c r="A68">
        <v>1101216</v>
      </c>
      <c r="B68">
        <v>3.7808219178082303</v>
      </c>
      <c r="C68">
        <v>178.00657320668859</v>
      </c>
      <c r="D68">
        <v>3.8135821326710927E-3</v>
      </c>
      <c r="F68">
        <v>3.8206513661238466</v>
      </c>
      <c r="G68">
        <v>863816</v>
      </c>
      <c r="H68">
        <v>0</v>
      </c>
      <c r="I68">
        <v>145.58061400544378</v>
      </c>
      <c r="J68">
        <v>2.5834152116241444E-3</v>
      </c>
      <c r="L68">
        <v>3.809004905455355</v>
      </c>
      <c r="M68">
        <v>1101216</v>
      </c>
      <c r="N68">
        <v>3.7808219178082303</v>
      </c>
      <c r="O68">
        <v>165.45803521646462</v>
      </c>
      <c r="P68">
        <v>3.5983218480375935E-3</v>
      </c>
      <c r="R68">
        <v>3.5118479831715277</v>
      </c>
      <c r="S68">
        <v>863816</v>
      </c>
      <c r="T68">
        <v>0</v>
      </c>
      <c r="U68">
        <v>135.33559780724019</v>
      </c>
      <c r="V68">
        <v>2.4922305914450433E-3</v>
      </c>
      <c r="X68">
        <v>3.5093435182692985</v>
      </c>
      <c r="Y68">
        <v>1101216</v>
      </c>
      <c r="Z68">
        <v>3.7808219178082303</v>
      </c>
      <c r="AA68">
        <v>187.52054794520546</v>
      </c>
      <c r="AB68">
        <v>3.9868299765112251E-3</v>
      </c>
      <c r="AD68">
        <v>4.0564084552506836</v>
      </c>
      <c r="AE68">
        <v>863816</v>
      </c>
      <c r="AF68">
        <v>0</v>
      </c>
      <c r="AG68">
        <v>153.13356164383575</v>
      </c>
      <c r="AH68">
        <v>2.6474458290487147E-3</v>
      </c>
      <c r="AJ68">
        <v>4.0313976341035938</v>
      </c>
      <c r="AK68">
        <v>1101216</v>
      </c>
      <c r="AL68">
        <v>3.7808219178082303</v>
      </c>
      <c r="AM68">
        <v>171.16621591966083</v>
      </c>
      <c r="AN68">
        <v>3.7065812581402982E-3</v>
      </c>
      <c r="AP68">
        <v>3.6520039135942373</v>
      </c>
      <c r="AQ68">
        <v>863816</v>
      </c>
      <c r="AR68">
        <v>0</v>
      </c>
      <c r="AS68">
        <v>139.88123710161085</v>
      </c>
      <c r="AT68">
        <v>2.5329790870203327E-3</v>
      </c>
      <c r="AV68">
        <v>3.6420063586902587</v>
      </c>
      <c r="AW68">
        <v>1101216</v>
      </c>
      <c r="AX68">
        <v>3.7808219178082303</v>
      </c>
      <c r="AY68">
        <v>183.80845641433655</v>
      </c>
      <c r="AZ68">
        <v>3.9175697780075569E-3</v>
      </c>
      <c r="BB68">
        <v>3.9642622555089391</v>
      </c>
      <c r="BC68">
        <v>863816</v>
      </c>
      <c r="BD68">
        <v>0</v>
      </c>
      <c r="BE68">
        <v>150.2869758116162</v>
      </c>
      <c r="BF68">
        <v>2.6266599519647687E-3</v>
      </c>
      <c r="BH68">
        <v>3.9474406739827308</v>
      </c>
      <c r="BI68">
        <v>1101216</v>
      </c>
      <c r="BJ68">
        <v>3.7808219178082303</v>
      </c>
      <c r="BK68">
        <v>176.60829240092451</v>
      </c>
      <c r="BL68">
        <v>3.7782023874919669E-3</v>
      </c>
      <c r="BN68">
        <v>3.7861172829634757</v>
      </c>
      <c r="BO68">
        <v>863816</v>
      </c>
      <c r="BP68">
        <v>0</v>
      </c>
      <c r="BQ68">
        <v>144.57235210601795</v>
      </c>
      <c r="BR68">
        <v>2.5736066240501635E-3</v>
      </c>
      <c r="BT68">
        <v>3.7794092420679126</v>
      </c>
      <c r="BU68">
        <v>1101216</v>
      </c>
      <c r="BV68">
        <v>3.7808219178082303</v>
      </c>
      <c r="BW68">
        <v>176.29827139391583</v>
      </c>
      <c r="BX68">
        <v>3.7971584870213839E-3</v>
      </c>
      <c r="BZ68">
        <v>3.7784646407029272</v>
      </c>
      <c r="CA68">
        <v>863816</v>
      </c>
      <c r="CB68">
        <v>0</v>
      </c>
      <c r="CC68">
        <v>144.0491885025115</v>
      </c>
      <c r="CD68">
        <v>2.5695080091777084E-3</v>
      </c>
      <c r="CF68">
        <v>3.7640615100897294</v>
      </c>
      <c r="CG68">
        <v>1101216</v>
      </c>
      <c r="CH68">
        <v>2</v>
      </c>
      <c r="CI68">
        <v>0</v>
      </c>
      <c r="CJ68">
        <v>3.7808219178082303</v>
      </c>
      <c r="CK68">
        <v>0</v>
      </c>
      <c r="CL68">
        <v>3.7191780821917764</v>
      </c>
      <c r="CM68">
        <v>0</v>
      </c>
      <c r="CN68">
        <v>0</v>
      </c>
      <c r="CO68">
        <v>7.5000000000000071</v>
      </c>
      <c r="CP68">
        <v>0</v>
      </c>
      <c r="CQ68">
        <v>7.5205479452054806</v>
      </c>
      <c r="CR68">
        <v>7.5000000000000071</v>
      </c>
      <c r="CS68">
        <v>157.5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863816</v>
      </c>
      <c r="DC68">
        <v>1</v>
      </c>
      <c r="DD68">
        <v>0</v>
      </c>
      <c r="DE68">
        <v>0</v>
      </c>
      <c r="DF68">
        <v>1.5410958904109595</v>
      </c>
      <c r="DG68">
        <v>1.5753424657534432</v>
      </c>
      <c r="DH68">
        <v>1.5753424657534432</v>
      </c>
      <c r="DI68">
        <v>1.5582191780821875</v>
      </c>
      <c r="DJ68">
        <v>3.1164383561644025</v>
      </c>
      <c r="DK68">
        <v>3.1335616438356304</v>
      </c>
      <c r="DL68">
        <v>6.2671232876712608</v>
      </c>
      <c r="DM68">
        <v>6.2500000000000329</v>
      </c>
      <c r="DN68">
        <v>128.11643835616439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</row>
    <row r="69" spans="1:126">
      <c r="A69">
        <v>1109328</v>
      </c>
      <c r="B69">
        <v>10.712328767123413</v>
      </c>
      <c r="C69">
        <v>936.85653216094227</v>
      </c>
      <c r="D69">
        <v>2.0071052813182985E-2</v>
      </c>
      <c r="F69">
        <v>1.9312147225891292</v>
      </c>
      <c r="G69">
        <v>871274</v>
      </c>
      <c r="H69">
        <v>2040.94076692573</v>
      </c>
      <c r="I69">
        <v>2040.9348814734251</v>
      </c>
      <c r="J69">
        <v>3.6217612178333067E-2</v>
      </c>
      <c r="L69">
        <v>2.7397260273972603E-3</v>
      </c>
      <c r="M69">
        <v>1109328</v>
      </c>
      <c r="N69">
        <v>10.712328767123413</v>
      </c>
      <c r="O69">
        <v>902.06160466271638</v>
      </c>
      <c r="P69">
        <v>1.9617711379729379E-2</v>
      </c>
      <c r="R69">
        <v>1.8545199948833477</v>
      </c>
      <c r="S69">
        <v>871274</v>
      </c>
      <c r="T69">
        <v>2061.5023637130676</v>
      </c>
      <c r="U69">
        <v>2061.3834667743654</v>
      </c>
      <c r="V69">
        <v>3.796076582830351E-2</v>
      </c>
      <c r="X69">
        <v>2.7397260273972603E-3</v>
      </c>
      <c r="Y69">
        <v>1109328</v>
      </c>
      <c r="Z69">
        <v>10.712328767123413</v>
      </c>
      <c r="AA69">
        <v>945.71232876712406</v>
      </c>
      <c r="AB69">
        <v>2.0106565935306134E-2</v>
      </c>
      <c r="AD69">
        <v>1.9507581302938404</v>
      </c>
      <c r="AE69">
        <v>871274</v>
      </c>
      <c r="AF69">
        <v>2039.3999999999999</v>
      </c>
      <c r="AG69">
        <v>2039.3999999999999</v>
      </c>
      <c r="AH69">
        <v>3.5258116939248296E-2</v>
      </c>
      <c r="AJ69">
        <v>2.7397260273972603E-3</v>
      </c>
      <c r="AK69">
        <v>1109328</v>
      </c>
      <c r="AL69">
        <v>10.712328767123413</v>
      </c>
      <c r="AM69">
        <v>905.14172299113034</v>
      </c>
      <c r="AN69">
        <v>1.9600721604866506E-2</v>
      </c>
      <c r="AP69">
        <v>1.8613031070668065</v>
      </c>
      <c r="AQ69">
        <v>871274</v>
      </c>
      <c r="AR69">
        <v>2066.653453363137</v>
      </c>
      <c r="AS69">
        <v>2066.4777630594085</v>
      </c>
      <c r="AT69">
        <v>3.7419921828542091E-2</v>
      </c>
      <c r="AV69">
        <v>2.7397260273972603E-3</v>
      </c>
      <c r="AW69">
        <v>1109328</v>
      </c>
      <c r="AX69">
        <v>10.712328767123413</v>
      </c>
      <c r="AY69">
        <v>945.71232876712406</v>
      </c>
      <c r="AZ69">
        <v>2.0156276322324092E-2</v>
      </c>
      <c r="BB69">
        <v>1.9507581302938404</v>
      </c>
      <c r="BC69">
        <v>871274</v>
      </c>
      <c r="BD69">
        <v>2039.3999999999999</v>
      </c>
      <c r="BE69">
        <v>2039.3999999999999</v>
      </c>
      <c r="BF69">
        <v>3.564387583892617E-2</v>
      </c>
      <c r="BH69">
        <v>2.7397260273972603E-3</v>
      </c>
      <c r="BI69">
        <v>1109328</v>
      </c>
      <c r="BJ69">
        <v>10.712328767123413</v>
      </c>
      <c r="BK69">
        <v>945.1898285325434</v>
      </c>
      <c r="BL69">
        <v>2.022055939869381E-2</v>
      </c>
      <c r="BN69">
        <v>1.9496047915312031</v>
      </c>
      <c r="BO69">
        <v>871274</v>
      </c>
      <c r="BP69">
        <v>2039.3999999999999</v>
      </c>
      <c r="BQ69">
        <v>2039.3999999999999</v>
      </c>
      <c r="BR69">
        <v>3.6304405874499332E-2</v>
      </c>
      <c r="BT69">
        <v>2.7397260273972603E-3</v>
      </c>
      <c r="BU69">
        <v>1109328</v>
      </c>
      <c r="BV69">
        <v>10.712328767123413</v>
      </c>
      <c r="BW69">
        <v>917.4189240018602</v>
      </c>
      <c r="BX69">
        <v>1.9759609812872562E-2</v>
      </c>
      <c r="BZ69">
        <v>1.8883520720320119</v>
      </c>
      <c r="CA69">
        <v>871274</v>
      </c>
      <c r="CB69">
        <v>2061.5066249466186</v>
      </c>
      <c r="CC69">
        <v>2061.3652663603812</v>
      </c>
      <c r="CD69">
        <v>3.6770040961816255E-2</v>
      </c>
      <c r="CF69">
        <v>2.7397260273972603E-3</v>
      </c>
      <c r="CG69">
        <v>1109328</v>
      </c>
      <c r="CH69">
        <v>2</v>
      </c>
      <c r="CI69">
        <v>0</v>
      </c>
      <c r="CJ69">
        <v>10.712328767123413</v>
      </c>
      <c r="CK69">
        <v>0</v>
      </c>
      <c r="CL69">
        <v>10.363013698630175</v>
      </c>
      <c r="CM69">
        <v>10.712328767123413</v>
      </c>
      <c r="CN69">
        <v>10.712328767123413</v>
      </c>
      <c r="CO69">
        <v>21.075342465753586</v>
      </c>
      <c r="CP69">
        <v>21.424657534246826</v>
      </c>
      <c r="CQ69">
        <v>860.71232876712338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871274</v>
      </c>
      <c r="DC69">
        <v>1</v>
      </c>
      <c r="DD69">
        <v>2040.94076692573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</row>
    <row r="70" spans="1:126">
      <c r="A70">
        <v>1109330</v>
      </c>
      <c r="B70">
        <v>17.190136986301422</v>
      </c>
      <c r="C70">
        <v>760.2385415940962</v>
      </c>
      <c r="D70">
        <v>1.6287219435569898E-2</v>
      </c>
      <c r="F70">
        <v>1.9210306394825107</v>
      </c>
      <c r="G70">
        <v>898589</v>
      </c>
      <c r="H70">
        <v>0.19768131057531502</v>
      </c>
      <c r="I70">
        <v>300.9904422127151</v>
      </c>
      <c r="J70">
        <v>5.3412557178576644E-3</v>
      </c>
      <c r="L70">
        <v>5.6076442724519192E-2</v>
      </c>
      <c r="M70">
        <v>1109330</v>
      </c>
      <c r="N70">
        <v>17.190136986301422</v>
      </c>
      <c r="O70">
        <v>732.15270886488145</v>
      </c>
      <c r="P70">
        <v>1.5922593816382093E-2</v>
      </c>
      <c r="R70">
        <v>1.8442678096870888</v>
      </c>
      <c r="S70">
        <v>898589</v>
      </c>
      <c r="T70">
        <v>1.7100100776986205</v>
      </c>
      <c r="U70">
        <v>302.16479854188128</v>
      </c>
      <c r="V70">
        <v>5.5644218282945926E-3</v>
      </c>
      <c r="X70">
        <v>5.576514505293631E-2</v>
      </c>
      <c r="Y70">
        <v>1109330</v>
      </c>
      <c r="Z70">
        <v>17.190136986301422</v>
      </c>
      <c r="AA70">
        <v>767.39013698630174</v>
      </c>
      <c r="AB70">
        <v>1.6315300031599908E-2</v>
      </c>
      <c r="AD70">
        <v>1.9406002448209048</v>
      </c>
      <c r="AE70">
        <v>898589</v>
      </c>
      <c r="AF70">
        <v>7.5616438356185256E-2</v>
      </c>
      <c r="AG70">
        <v>300.90082191780823</v>
      </c>
      <c r="AH70">
        <v>5.2021164883269636E-3</v>
      </c>
      <c r="AJ70">
        <v>5.6169554787551208E-2</v>
      </c>
      <c r="AK70">
        <v>1109330</v>
      </c>
      <c r="AL70">
        <v>17.190136986301422</v>
      </c>
      <c r="AM70">
        <v>734.6486463586117</v>
      </c>
      <c r="AN70">
        <v>1.5908717086957527E-2</v>
      </c>
      <c r="AP70">
        <v>1.8510835855075896</v>
      </c>
      <c r="AQ70">
        <v>898589</v>
      </c>
      <c r="AR70">
        <v>2.4369135829672484</v>
      </c>
      <c r="AS70">
        <v>302.7412847052147</v>
      </c>
      <c r="AT70">
        <v>5.4820600591267326E-3</v>
      </c>
      <c r="AV70">
        <v>5.5773899780068678E-2</v>
      </c>
      <c r="AW70">
        <v>1109330</v>
      </c>
      <c r="AX70">
        <v>17.190136986301422</v>
      </c>
      <c r="AY70">
        <v>767.39013698630174</v>
      </c>
      <c r="AZ70">
        <v>1.6355637097685411E-2</v>
      </c>
      <c r="BB70">
        <v>1.9406002448209048</v>
      </c>
      <c r="BC70">
        <v>898589</v>
      </c>
      <c r="BD70">
        <v>7.5616438356185256E-2</v>
      </c>
      <c r="BE70">
        <v>300.90082191780823</v>
      </c>
      <c r="BF70">
        <v>5.25903282155006E-3</v>
      </c>
      <c r="BH70">
        <v>5.6169554787551208E-2</v>
      </c>
      <c r="BI70">
        <v>1109330</v>
      </c>
      <c r="BJ70">
        <v>17.190136986301422</v>
      </c>
      <c r="BK70">
        <v>766.96568970190515</v>
      </c>
      <c r="BL70">
        <v>1.640778901467365E-2</v>
      </c>
      <c r="BN70">
        <v>1.9394385308260169</v>
      </c>
      <c r="BO70">
        <v>898589</v>
      </c>
      <c r="BP70">
        <v>7.5616438356185256E-2</v>
      </c>
      <c r="BQ70">
        <v>300.89893400035135</v>
      </c>
      <c r="BR70">
        <v>5.3564563239937935E-3</v>
      </c>
      <c r="BT70">
        <v>5.6145414103757209E-2</v>
      </c>
      <c r="BU70">
        <v>1109330</v>
      </c>
      <c r="BV70">
        <v>17.190136986301422</v>
      </c>
      <c r="BW70">
        <v>744.55962998442908</v>
      </c>
      <c r="BX70">
        <v>1.6036520924086865E-2</v>
      </c>
      <c r="BZ70">
        <v>1.8781596396323641</v>
      </c>
      <c r="CA70">
        <v>898589</v>
      </c>
      <c r="CB70">
        <v>1.9802888650009676</v>
      </c>
      <c r="CC70">
        <v>302.38849759380901</v>
      </c>
      <c r="CD70">
        <v>5.3939190808906193E-3</v>
      </c>
      <c r="CF70">
        <v>5.5880310280460803E-2</v>
      </c>
      <c r="CG70">
        <v>1109330</v>
      </c>
      <c r="CH70">
        <v>2</v>
      </c>
      <c r="CI70">
        <v>0</v>
      </c>
      <c r="CJ70">
        <v>17.190136986301422</v>
      </c>
      <c r="CK70">
        <v>0</v>
      </c>
      <c r="CL70">
        <v>0</v>
      </c>
      <c r="CM70">
        <v>16.909863013698612</v>
      </c>
      <c r="CN70">
        <v>0</v>
      </c>
      <c r="CO70">
        <v>17.190136986301422</v>
      </c>
      <c r="CP70">
        <v>16.909863013698612</v>
      </c>
      <c r="CQ70">
        <v>699.19013698630147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898589</v>
      </c>
      <c r="DC70">
        <v>1</v>
      </c>
      <c r="DD70">
        <v>0</v>
      </c>
      <c r="DE70">
        <v>0.19768131057531502</v>
      </c>
      <c r="DF70">
        <v>306.7699404240326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</row>
    <row r="71" spans="1:126">
      <c r="A71">
        <v>1117061</v>
      </c>
      <c r="B71">
        <v>0</v>
      </c>
      <c r="C71">
        <v>177.42130772577141</v>
      </c>
      <c r="D71">
        <v>3.8010435059187913E-3</v>
      </c>
      <c r="F71">
        <v>4.4837157182722134</v>
      </c>
      <c r="G71">
        <v>898601</v>
      </c>
      <c r="H71">
        <v>0</v>
      </c>
      <c r="I71">
        <v>1003.5091166323709</v>
      </c>
      <c r="J71">
        <v>1.7807870468348433E-2</v>
      </c>
      <c r="L71">
        <v>0.29954685231347872</v>
      </c>
      <c r="M71">
        <v>1117061</v>
      </c>
      <c r="N71">
        <v>0</v>
      </c>
      <c r="O71">
        <v>162.94192839257011</v>
      </c>
      <c r="P71">
        <v>3.5436024616713083E-3</v>
      </c>
      <c r="R71">
        <v>4.0708039367994768</v>
      </c>
      <c r="S71">
        <v>898601</v>
      </c>
      <c r="T71">
        <v>0</v>
      </c>
      <c r="U71">
        <v>1007.3918688892107</v>
      </c>
      <c r="V71">
        <v>1.8551311509294344E-2</v>
      </c>
      <c r="X71">
        <v>0.29922266098305988</v>
      </c>
      <c r="Y71">
        <v>1117061</v>
      </c>
      <c r="Z71">
        <v>0</v>
      </c>
      <c r="AA71">
        <v>190.63629132062124</v>
      </c>
      <c r="AB71">
        <v>4.053073058799218E-3</v>
      </c>
      <c r="AD71">
        <v>4.8644027139918879</v>
      </c>
      <c r="AE71">
        <v>898601</v>
      </c>
      <c r="AF71">
        <v>0</v>
      </c>
      <c r="AG71">
        <v>1003.002739726027</v>
      </c>
      <c r="AH71">
        <v>1.7340388294423206E-2</v>
      </c>
      <c r="AJ71">
        <v>0.29964972888811425</v>
      </c>
      <c r="AK71">
        <v>1117061</v>
      </c>
      <c r="AL71">
        <v>0</v>
      </c>
      <c r="AM71">
        <v>170.76281592960228</v>
      </c>
      <c r="AN71">
        <v>3.6978456859092291E-3</v>
      </c>
      <c r="AP71">
        <v>4.2932642180916378</v>
      </c>
      <c r="AQ71">
        <v>898601</v>
      </c>
      <c r="AR71">
        <v>0</v>
      </c>
      <c r="AS71">
        <v>1008.9471897718603</v>
      </c>
      <c r="AT71">
        <v>1.8270085284873609E-2</v>
      </c>
      <c r="AV71">
        <v>0.29924282096552351</v>
      </c>
      <c r="AW71">
        <v>1117061</v>
      </c>
      <c r="AX71">
        <v>0</v>
      </c>
      <c r="AY71">
        <v>184.01656205178878</v>
      </c>
      <c r="AZ71">
        <v>3.9220052015556334E-3</v>
      </c>
      <c r="BB71">
        <v>4.6732705138589239</v>
      </c>
      <c r="BC71">
        <v>898601</v>
      </c>
      <c r="BD71">
        <v>0</v>
      </c>
      <c r="BE71">
        <v>1003.002739726027</v>
      </c>
      <c r="BF71">
        <v>1.753010940516686E-2</v>
      </c>
      <c r="BH71">
        <v>0.29964972888811425</v>
      </c>
      <c r="BI71">
        <v>1117061</v>
      </c>
      <c r="BJ71">
        <v>0</v>
      </c>
      <c r="BK71">
        <v>174.31506287840224</v>
      </c>
      <c r="BL71">
        <v>3.7291430531919017E-3</v>
      </c>
      <c r="BN71">
        <v>4.3947507957767566</v>
      </c>
      <c r="BO71">
        <v>898601</v>
      </c>
      <c r="BP71">
        <v>0</v>
      </c>
      <c r="BQ71">
        <v>1002.9944329183633</v>
      </c>
      <c r="BR71">
        <v>1.7854818565524934E-2</v>
      </c>
      <c r="BT71">
        <v>0.29961785163092586</v>
      </c>
      <c r="BU71">
        <v>1117061</v>
      </c>
      <c r="BV71">
        <v>0</v>
      </c>
      <c r="BW71">
        <v>176.95165853753545</v>
      </c>
      <c r="BX71">
        <v>3.8112313109809697E-3</v>
      </c>
      <c r="BZ71">
        <v>4.4702516342793075</v>
      </c>
      <c r="CA71">
        <v>898601</v>
      </c>
      <c r="CB71">
        <v>0</v>
      </c>
      <c r="CC71">
        <v>1007.7552920682253</v>
      </c>
      <c r="CD71">
        <v>1.7976049161952612E-2</v>
      </c>
      <c r="CF71">
        <v>0.29935492380999651</v>
      </c>
      <c r="CG71">
        <v>1117061</v>
      </c>
      <c r="CH71">
        <v>2</v>
      </c>
      <c r="CI71">
        <v>0</v>
      </c>
      <c r="CJ71">
        <v>0</v>
      </c>
      <c r="CK71">
        <v>0</v>
      </c>
      <c r="CL71">
        <v>3.7397260273972499</v>
      </c>
      <c r="CM71">
        <v>0</v>
      </c>
      <c r="CN71">
        <v>3.7602739726027234</v>
      </c>
      <c r="CO71">
        <v>3.7397260273972499</v>
      </c>
      <c r="CP71">
        <v>3.7602739726027234</v>
      </c>
      <c r="CQ71">
        <v>7.5205479452054469</v>
      </c>
      <c r="CR71">
        <v>7.4999999999999734</v>
      </c>
      <c r="CS71">
        <v>7.4999999999999734</v>
      </c>
      <c r="CT71">
        <v>153.73972602739724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898601</v>
      </c>
      <c r="DC71">
        <v>1</v>
      </c>
      <c r="DD71">
        <v>0</v>
      </c>
      <c r="DE71">
        <v>0</v>
      </c>
      <c r="DF71">
        <v>0</v>
      </c>
      <c r="DG71">
        <v>1023.4571882134292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</row>
    <row r="72" spans="1:126">
      <c r="A72">
        <v>1117062</v>
      </c>
      <c r="B72">
        <v>0</v>
      </c>
      <c r="C72">
        <v>1468.4746068845789</v>
      </c>
      <c r="D72">
        <v>3.1460346785024289E-2</v>
      </c>
      <c r="F72">
        <v>5.0292597407431847</v>
      </c>
      <c r="G72">
        <v>1017619</v>
      </c>
      <c r="H72">
        <v>9.8075887733074532E-2</v>
      </c>
      <c r="I72">
        <v>176.1527356035119</v>
      </c>
      <c r="J72">
        <v>3.1259358248777666E-3</v>
      </c>
      <c r="L72">
        <v>9.7148582929996466E-2</v>
      </c>
      <c r="M72">
        <v>1117062</v>
      </c>
      <c r="N72">
        <v>0</v>
      </c>
      <c r="O72">
        <v>1335.9052969636491</v>
      </c>
      <c r="P72">
        <v>2.9052787981463379E-2</v>
      </c>
      <c r="R72">
        <v>4.4990349544154258</v>
      </c>
      <c r="S72">
        <v>1017619</v>
      </c>
      <c r="T72">
        <v>0.97538071276298821</v>
      </c>
      <c r="U72">
        <v>176.71970269925251</v>
      </c>
      <c r="V72">
        <v>3.2543266983270261E-3</v>
      </c>
      <c r="X72">
        <v>8.2257258078276149E-2</v>
      </c>
      <c r="Y72">
        <v>1117062</v>
      </c>
      <c r="Z72">
        <v>0</v>
      </c>
      <c r="AA72">
        <v>1599.8673801852974</v>
      </c>
      <c r="AB72">
        <v>3.4014401619757571E-2</v>
      </c>
      <c r="AD72">
        <v>5.5622082126103862</v>
      </c>
      <c r="AE72">
        <v>1017619</v>
      </c>
      <c r="AF72">
        <v>4.3864793424669639E-2</v>
      </c>
      <c r="AG72">
        <v>176.31594954058301</v>
      </c>
      <c r="AH72">
        <v>3.0482339742848277E-3</v>
      </c>
      <c r="AJ72">
        <v>0.11596948331374042</v>
      </c>
      <c r="AK72">
        <v>1117062</v>
      </c>
      <c r="AL72">
        <v>0</v>
      </c>
      <c r="AM72">
        <v>1414.8513459771091</v>
      </c>
      <c r="AN72">
        <v>3.0638414560235368E-2</v>
      </c>
      <c r="AP72">
        <v>4.8138353124775293</v>
      </c>
      <c r="AQ72">
        <v>1017619</v>
      </c>
      <c r="AR72">
        <v>1.1859465047417965</v>
      </c>
      <c r="AS72">
        <v>177.04659595680627</v>
      </c>
      <c r="AT72">
        <v>3.2059719679271019E-3</v>
      </c>
      <c r="AV72">
        <v>9.2743954984697952E-2</v>
      </c>
      <c r="AW72">
        <v>1117062</v>
      </c>
      <c r="AX72">
        <v>0</v>
      </c>
      <c r="AY72">
        <v>1521.3751120927714</v>
      </c>
      <c r="AZ72">
        <v>3.2425565593741795E-2</v>
      </c>
      <c r="BB72">
        <v>5.2429859840935569</v>
      </c>
      <c r="BC72">
        <v>1017619</v>
      </c>
      <c r="BD72">
        <v>4.3864793424669639E-2</v>
      </c>
      <c r="BE72">
        <v>176.1493896775448</v>
      </c>
      <c r="BF72">
        <v>3.0786736171271112E-3</v>
      </c>
      <c r="BH72">
        <v>0.10081408477165607</v>
      </c>
      <c r="BI72">
        <v>1117062</v>
      </c>
      <c r="BJ72">
        <v>0</v>
      </c>
      <c r="BK72">
        <v>1431.0194152457334</v>
      </c>
      <c r="BL72">
        <v>3.0613970033495922E-2</v>
      </c>
      <c r="BN72">
        <v>4.8786557027760047</v>
      </c>
      <c r="BO72">
        <v>1017619</v>
      </c>
      <c r="BP72">
        <v>4.3864793424669639E-2</v>
      </c>
      <c r="BQ72">
        <v>176.05985980573664</v>
      </c>
      <c r="BR72">
        <v>3.1341319057541011E-3</v>
      </c>
      <c r="BT72">
        <v>9.3498032666328057E-2</v>
      </c>
      <c r="BU72">
        <v>1117062</v>
      </c>
      <c r="BV72">
        <v>0</v>
      </c>
      <c r="BW72">
        <v>1473.4856665083767</v>
      </c>
      <c r="BX72">
        <v>3.1736321404905912E-2</v>
      </c>
      <c r="BZ72">
        <v>5.0494546710049253</v>
      </c>
      <c r="CA72">
        <v>1017619</v>
      </c>
      <c r="CB72">
        <v>0.96619413946195976</v>
      </c>
      <c r="CC72">
        <v>176.92002986405473</v>
      </c>
      <c r="CD72">
        <v>3.1558486267468421E-3</v>
      </c>
      <c r="CF72">
        <v>9.7947433015383348E-2</v>
      </c>
      <c r="CG72">
        <v>1117062</v>
      </c>
      <c r="CH72">
        <v>2</v>
      </c>
      <c r="CI72">
        <v>0</v>
      </c>
      <c r="CJ72">
        <v>0</v>
      </c>
      <c r="CK72">
        <v>0</v>
      </c>
      <c r="CL72">
        <v>60.000000000000057</v>
      </c>
      <c r="CM72">
        <v>0</v>
      </c>
      <c r="CN72">
        <v>0</v>
      </c>
      <c r="CO72">
        <v>60.000000000000057</v>
      </c>
      <c r="CP72">
        <v>0</v>
      </c>
      <c r="CQ72">
        <v>60.164383561643845</v>
      </c>
      <c r="CR72">
        <v>60.000000000000057</v>
      </c>
      <c r="CS72">
        <v>60.000000000000057</v>
      </c>
      <c r="CT72">
        <v>60.000000000000057</v>
      </c>
      <c r="CU72">
        <v>1260.1643835616439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1017619</v>
      </c>
      <c r="DC72">
        <v>1</v>
      </c>
      <c r="DD72">
        <v>0</v>
      </c>
      <c r="DE72">
        <v>9.8075887733074532E-2</v>
      </c>
      <c r="DF72">
        <v>240.73817087531725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</row>
    <row r="73" spans="1:126">
      <c r="G73">
        <v>1017640</v>
      </c>
      <c r="H73">
        <v>1.9339577740277076E-2</v>
      </c>
      <c r="I73">
        <v>103.17965706393426</v>
      </c>
      <c r="J73">
        <v>1.8309848286473286E-3</v>
      </c>
      <c r="L73">
        <v>9.1112186215556876E-2</v>
      </c>
      <c r="S73">
        <v>1017640</v>
      </c>
      <c r="T73">
        <v>0.19255028811618063</v>
      </c>
      <c r="U73">
        <v>103.18353673225799</v>
      </c>
      <c r="V73">
        <v>1.9001443149044802E-3</v>
      </c>
      <c r="X73">
        <v>7.6567221701490135E-2</v>
      </c>
      <c r="AE73">
        <v>1017640</v>
      </c>
      <c r="AF73">
        <v>8.660465753411296E-3</v>
      </c>
      <c r="AG73">
        <v>103.29406278960037</v>
      </c>
      <c r="AH73">
        <v>1.7857968740638355E-3</v>
      </c>
      <c r="AJ73">
        <v>0.10958510756610949</v>
      </c>
      <c r="AQ73">
        <v>1017640</v>
      </c>
      <c r="AR73">
        <v>0.23440994371092</v>
      </c>
      <c r="AS73">
        <v>103.29534827739977</v>
      </c>
      <c r="AT73">
        <v>1.870479289392289E-3</v>
      </c>
      <c r="AV73">
        <v>8.696797663829009E-2</v>
      </c>
      <c r="BC73">
        <v>1017640</v>
      </c>
      <c r="BD73">
        <v>8.660465753411296E-3</v>
      </c>
      <c r="BE73">
        <v>103.19800652321896</v>
      </c>
      <c r="BF73">
        <v>1.8036564339209131E-3</v>
      </c>
      <c r="BH73">
        <v>9.4739420048405604E-2</v>
      </c>
      <c r="BO73">
        <v>1017640</v>
      </c>
      <c r="BP73">
        <v>8.660465753411296E-3</v>
      </c>
      <c r="BQ73">
        <v>103.14609246715946</v>
      </c>
      <c r="BR73">
        <v>1.8361565192195721E-3</v>
      </c>
      <c r="BT73">
        <v>8.7527268282079421E-2</v>
      </c>
      <c r="CA73">
        <v>1017640</v>
      </c>
      <c r="CB73">
        <v>0.19103707768836439</v>
      </c>
      <c r="CC73">
        <v>103.30321210382141</v>
      </c>
      <c r="CD73">
        <v>1.8426929969822408E-3</v>
      </c>
      <c r="CF73">
        <v>9.2064122715601771E-2</v>
      </c>
      <c r="DB73">
        <v>1017640</v>
      </c>
      <c r="DC73">
        <v>1</v>
      </c>
      <c r="DD73">
        <v>0</v>
      </c>
      <c r="DE73">
        <v>141.00044665455098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</row>
    <row r="74" spans="1:126">
      <c r="G74">
        <v>1017650</v>
      </c>
      <c r="H74">
        <v>3.6778457899902951E-2</v>
      </c>
      <c r="I74">
        <v>65.902442547256015</v>
      </c>
      <c r="J74">
        <v>1.169478324589296E-3</v>
      </c>
      <c r="L74">
        <v>7.4924381091930281E-2</v>
      </c>
      <c r="S74">
        <v>1017650</v>
      </c>
      <c r="T74">
        <v>0.36576776728612059</v>
      </c>
      <c r="U74">
        <v>66.139108334418395</v>
      </c>
      <c r="V74">
        <v>1.2179641702008801E-3</v>
      </c>
      <c r="X74">
        <v>6.6551359144583933E-2</v>
      </c>
      <c r="AE74">
        <v>1017650</v>
      </c>
      <c r="AF74">
        <v>1.6449297534251114E-2</v>
      </c>
      <c r="AG74">
        <v>65.928709791440568</v>
      </c>
      <c r="AH74">
        <v>1.1398068841229655E-3</v>
      </c>
      <c r="AJ74">
        <v>8.3346426581648939E-2</v>
      </c>
      <c r="AQ74">
        <v>1017650</v>
      </c>
      <c r="AR74">
        <v>0.44472993927817372</v>
      </c>
      <c r="AS74">
        <v>66.239826307826277</v>
      </c>
      <c r="AT74">
        <v>1.1994753423842221E-3</v>
      </c>
      <c r="AV74">
        <v>7.1742478731410611E-2</v>
      </c>
      <c r="BC74">
        <v>1017650</v>
      </c>
      <c r="BD74">
        <v>1.6449297534251114E-2</v>
      </c>
      <c r="BE74">
        <v>65.898937364744427</v>
      </c>
      <c r="BF74">
        <v>1.1517571547249796E-3</v>
      </c>
      <c r="BH74">
        <v>7.7534686728072788E-2</v>
      </c>
      <c r="BO74">
        <v>1017650</v>
      </c>
      <c r="BP74">
        <v>1.6449297534251114E-2</v>
      </c>
      <c r="BQ74">
        <v>65.877512989780925</v>
      </c>
      <c r="BR74">
        <v>1.1727194123681518E-3</v>
      </c>
      <c r="BT74">
        <v>7.3645746272096177E-2</v>
      </c>
      <c r="CA74">
        <v>1017650</v>
      </c>
      <c r="CB74">
        <v>0.36232280229823494</v>
      </c>
      <c r="CC74">
        <v>66.183672233709288</v>
      </c>
      <c r="CD74">
        <v>1.1805653169531275E-3</v>
      </c>
      <c r="CF74">
        <v>7.4460750314304935E-2</v>
      </c>
      <c r="DB74">
        <v>1017650</v>
      </c>
      <c r="DC74">
        <v>1</v>
      </c>
      <c r="DD74">
        <v>0</v>
      </c>
      <c r="DE74">
        <v>3.6778457899902951E-2</v>
      </c>
      <c r="DF74">
        <v>83.129333814870648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</row>
    <row r="75" spans="1:126">
      <c r="G75">
        <v>1017656</v>
      </c>
      <c r="H75">
        <v>7.6621787291479568E-3</v>
      </c>
      <c r="I75">
        <v>6.8510356572579827</v>
      </c>
      <c r="J75">
        <v>1.2157573213475977E-4</v>
      </c>
      <c r="L75">
        <v>5.627435089898964E-2</v>
      </c>
      <c r="S75">
        <v>1017656</v>
      </c>
      <c r="T75">
        <v>7.6201618184608452E-2</v>
      </c>
      <c r="U75">
        <v>6.9121116566258518</v>
      </c>
      <c r="V75">
        <v>1.2728784149357959E-4</v>
      </c>
      <c r="X75">
        <v>5.2446672104207587E-2</v>
      </c>
      <c r="AE75">
        <v>1017656</v>
      </c>
      <c r="AF75">
        <v>3.426936986300806E-3</v>
      </c>
      <c r="AG75">
        <v>6.8490237607004172</v>
      </c>
      <c r="AH75">
        <v>1.1840917950106181E-4</v>
      </c>
      <c r="AJ75">
        <v>5.8934697757879705E-2</v>
      </c>
      <c r="AQ75">
        <v>1017656</v>
      </c>
      <c r="AR75">
        <v>9.2652070682951351E-2</v>
      </c>
      <c r="AS75">
        <v>6.929036071692666</v>
      </c>
      <c r="AT75">
        <v>1.2547146298154182E-4</v>
      </c>
      <c r="AV75">
        <v>5.4293122543608942E-2</v>
      </c>
      <c r="BC75">
        <v>1017656</v>
      </c>
      <c r="BD75">
        <v>3.426936986300806E-3</v>
      </c>
      <c r="BE75">
        <v>6.8481278941956472</v>
      </c>
      <c r="BF75">
        <v>1.1968903618211072E-4</v>
      </c>
      <c r="BH75">
        <v>5.7692823644151313E-2</v>
      </c>
      <c r="BO75">
        <v>1017656</v>
      </c>
      <c r="BP75">
        <v>3.426936986300806E-3</v>
      </c>
      <c r="BQ75">
        <v>6.846999221059205</v>
      </c>
      <c r="BR75">
        <v>1.2188694652530849E-4</v>
      </c>
      <c r="BT75">
        <v>5.6186096010284223E-2</v>
      </c>
      <c r="CA75">
        <v>1017656</v>
      </c>
      <c r="CB75">
        <v>7.5483917145467122E-2</v>
      </c>
      <c r="CC75">
        <v>6.9138867278984231</v>
      </c>
      <c r="CD75">
        <v>1.2332792365277864E-4</v>
      </c>
      <c r="CF75">
        <v>5.543106811208616E-2</v>
      </c>
      <c r="DB75">
        <v>1017656</v>
      </c>
      <c r="DC75">
        <v>1</v>
      </c>
      <c r="DD75">
        <v>0</v>
      </c>
      <c r="DE75">
        <v>7.6621787291479568E-3</v>
      </c>
      <c r="DF75">
        <v>0</v>
      </c>
      <c r="DG75">
        <v>7.8049408601115973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</row>
    <row r="76" spans="1:126">
      <c r="G76">
        <v>1021085</v>
      </c>
      <c r="H76">
        <v>0.37360470620000652</v>
      </c>
      <c r="I76">
        <v>159.84193347561478</v>
      </c>
      <c r="J76">
        <v>2.8364908694565373E-3</v>
      </c>
      <c r="L76">
        <v>1.9499298694985061E-2</v>
      </c>
      <c r="S76">
        <v>1021085</v>
      </c>
      <c r="T76">
        <v>3.5536047062000096</v>
      </c>
      <c r="U76">
        <v>162.95952127947592</v>
      </c>
      <c r="V76">
        <v>3.0009303589023798E-3</v>
      </c>
      <c r="X76">
        <v>1.89003653050345E-2</v>
      </c>
      <c r="AE76">
        <v>1021085</v>
      </c>
      <c r="AF76">
        <v>0.15899999999998249</v>
      </c>
      <c r="AG76">
        <v>159.63643561643835</v>
      </c>
      <c r="AH76">
        <v>2.7598706064181451E-3</v>
      </c>
      <c r="AJ76">
        <v>1.9685632364356331E-2</v>
      </c>
      <c r="AQ76">
        <v>1021085</v>
      </c>
      <c r="AR76">
        <v>5.1273059543018649</v>
      </c>
      <c r="AS76">
        <v>164.51300883850152</v>
      </c>
      <c r="AT76">
        <v>2.9790129081287398E-3</v>
      </c>
      <c r="AV76">
        <v>1.8916876750068628E-2</v>
      </c>
      <c r="BC76">
        <v>1021085</v>
      </c>
      <c r="BD76">
        <v>0.15899999999998249</v>
      </c>
      <c r="BE76">
        <v>159.63640743215879</v>
      </c>
      <c r="BF76">
        <v>2.7900658457801803E-3</v>
      </c>
      <c r="BH76">
        <v>1.9684807012696828E-2</v>
      </c>
      <c r="BO76">
        <v>1021085</v>
      </c>
      <c r="BP76">
        <v>0.15899999999998249</v>
      </c>
      <c r="BQ76">
        <v>159.63366822154768</v>
      </c>
      <c r="BR76">
        <v>2.8417208406150011E-3</v>
      </c>
      <c r="BT76">
        <v>1.9604944309022668E-2</v>
      </c>
      <c r="CA76">
        <v>1021085</v>
      </c>
      <c r="CB76">
        <v>4.1716760791120393</v>
      </c>
      <c r="CC76">
        <v>163.57764436674435</v>
      </c>
      <c r="CD76">
        <v>2.9178509902917241E-3</v>
      </c>
      <c r="CF76">
        <v>1.9120230589280314E-2</v>
      </c>
      <c r="DB76">
        <v>1021085</v>
      </c>
      <c r="DC76">
        <v>1</v>
      </c>
      <c r="DD76">
        <v>0</v>
      </c>
      <c r="DE76">
        <v>0.37360470620000652</v>
      </c>
      <c r="DF76">
        <v>0</v>
      </c>
      <c r="DG76">
        <v>0</v>
      </c>
      <c r="DH76">
        <v>0</v>
      </c>
      <c r="DI76">
        <v>163.21022595703533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</row>
    <row r="77" spans="1:126">
      <c r="G77">
        <v>1021088</v>
      </c>
      <c r="H77">
        <v>7.9954690290420238E-2</v>
      </c>
      <c r="I77">
        <v>135.47890221915929</v>
      </c>
      <c r="J77">
        <v>2.4041542841276137E-3</v>
      </c>
      <c r="L77">
        <v>1.8445302554036005E-2</v>
      </c>
      <c r="S77">
        <v>1021088</v>
      </c>
      <c r="T77">
        <v>0.76050263549587771</v>
      </c>
      <c r="U77">
        <v>136.10980889891127</v>
      </c>
      <c r="V77">
        <v>2.5064878349061979E-3</v>
      </c>
      <c r="X77">
        <v>1.8057841003996183E-2</v>
      </c>
      <c r="AE77">
        <v>1021088</v>
      </c>
      <c r="AF77">
        <v>3.4027397260283365E-2</v>
      </c>
      <c r="AG77">
        <v>135.43939726027406</v>
      </c>
      <c r="AH77">
        <v>2.3415407015710738E-3</v>
      </c>
      <c r="AJ77">
        <v>1.8566718783901637E-2</v>
      </c>
      <c r="AQ77">
        <v>1021088</v>
      </c>
      <c r="AR77">
        <v>1.0972885319622649</v>
      </c>
      <c r="AS77">
        <v>136.42909764333749</v>
      </c>
      <c r="AT77">
        <v>2.4704675076658244E-3</v>
      </c>
      <c r="AV77">
        <v>1.8077356879849321E-2</v>
      </c>
      <c r="BC77">
        <v>1021088</v>
      </c>
      <c r="BD77">
        <v>3.4027397260283365E-2</v>
      </c>
      <c r="BE77">
        <v>135.4393912450706</v>
      </c>
      <c r="BF77">
        <v>2.3671593827787785E-3</v>
      </c>
      <c r="BH77">
        <v>1.8566533472772276E-2</v>
      </c>
      <c r="BO77">
        <v>1021088</v>
      </c>
      <c r="BP77">
        <v>3.4027397260283365E-2</v>
      </c>
      <c r="BQ77">
        <v>135.43804451389542</v>
      </c>
      <c r="BR77">
        <v>2.4110021275281783E-3</v>
      </c>
      <c r="BT77">
        <v>1.8525165571985105E-2</v>
      </c>
      <c r="CA77">
        <v>1021088</v>
      </c>
      <c r="CB77">
        <v>0.89277534078696208</v>
      </c>
      <c r="CC77">
        <v>136.24025655101809</v>
      </c>
      <c r="CD77">
        <v>2.4302145261593279E-3</v>
      </c>
      <c r="CF77">
        <v>1.821095427432529E-2</v>
      </c>
      <c r="DB77">
        <v>1021088</v>
      </c>
      <c r="DC77">
        <v>1</v>
      </c>
      <c r="DD77">
        <v>0</v>
      </c>
      <c r="DE77">
        <v>7.9954690290420238E-2</v>
      </c>
      <c r="DF77">
        <v>138.56255561484974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</row>
    <row r="78" spans="1:126">
      <c r="G78">
        <v>1024970</v>
      </c>
      <c r="H78">
        <v>0</v>
      </c>
      <c r="I78">
        <v>130.73991741781438</v>
      </c>
      <c r="J78">
        <v>2.3200581597425892E-3</v>
      </c>
      <c r="L78">
        <v>3.7984745597317824</v>
      </c>
      <c r="S78">
        <v>1024970</v>
      </c>
      <c r="T78">
        <v>0</v>
      </c>
      <c r="U78">
        <v>121.5654767663526</v>
      </c>
      <c r="V78">
        <v>2.2386512120205625E-3</v>
      </c>
      <c r="X78">
        <v>3.4984704724620168</v>
      </c>
      <c r="AE78">
        <v>1024970</v>
      </c>
      <c r="AF78">
        <v>0</v>
      </c>
      <c r="AG78">
        <v>137.51506849315069</v>
      </c>
      <c r="AH78">
        <v>2.3774258928313456E-3</v>
      </c>
      <c r="AJ78">
        <v>4.0215233309803233</v>
      </c>
      <c r="AQ78">
        <v>1024970</v>
      </c>
      <c r="AR78">
        <v>0</v>
      </c>
      <c r="AS78">
        <v>125.6391248532567</v>
      </c>
      <c r="AT78">
        <v>2.2750819363547862E-3</v>
      </c>
      <c r="AV78">
        <v>3.6313784820200499</v>
      </c>
      <c r="BC78">
        <v>1024970</v>
      </c>
      <c r="BD78">
        <v>0</v>
      </c>
      <c r="BE78">
        <v>134.95420099357196</v>
      </c>
      <c r="BF78">
        <v>2.3586794077455949E-3</v>
      </c>
      <c r="BH78">
        <v>3.9370720368370842</v>
      </c>
      <c r="BO78">
        <v>1024970</v>
      </c>
      <c r="BP78">
        <v>0</v>
      </c>
      <c r="BQ78">
        <v>129.82672171249683</v>
      </c>
      <c r="BR78">
        <v>2.3111120910101796E-3</v>
      </c>
      <c r="BT78">
        <v>3.7685055907459022</v>
      </c>
      <c r="CA78">
        <v>1024970</v>
      </c>
      <c r="CB78">
        <v>0</v>
      </c>
      <c r="CC78">
        <v>129.37236636002217</v>
      </c>
      <c r="CD78">
        <v>2.3077070755074323E-3</v>
      </c>
      <c r="CF78">
        <v>3.7536033223088614</v>
      </c>
      <c r="DB78">
        <v>1024970</v>
      </c>
      <c r="DC78">
        <v>2</v>
      </c>
      <c r="DD78">
        <v>0</v>
      </c>
      <c r="DE78">
        <v>0</v>
      </c>
      <c r="DF78">
        <v>0</v>
      </c>
      <c r="DG78">
        <v>5.5000000000000053</v>
      </c>
      <c r="DH78">
        <v>0</v>
      </c>
      <c r="DI78">
        <v>0</v>
      </c>
      <c r="DJ78">
        <v>5.5000000000000053</v>
      </c>
      <c r="DK78">
        <v>0</v>
      </c>
      <c r="DL78">
        <v>5.5150684931506859</v>
      </c>
      <c r="DM78">
        <v>5.5000000000000053</v>
      </c>
      <c r="DN78">
        <v>115.5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</row>
    <row r="79" spans="1:126">
      <c r="G79">
        <v>1024986</v>
      </c>
      <c r="H79">
        <v>0</v>
      </c>
      <c r="I79">
        <v>781.01272745171752</v>
      </c>
      <c r="J79">
        <v>1.3859538746658814E-2</v>
      </c>
      <c r="L79">
        <v>4.4574909662511839</v>
      </c>
      <c r="S79">
        <v>1024986</v>
      </c>
      <c r="T79">
        <v>0</v>
      </c>
      <c r="U79">
        <v>717.64618796952675</v>
      </c>
      <c r="V79">
        <v>1.3215590077335079E-2</v>
      </c>
      <c r="X79">
        <v>4.0451930577647124</v>
      </c>
      <c r="AE79">
        <v>1024986</v>
      </c>
      <c r="AF79">
        <v>0</v>
      </c>
      <c r="AG79">
        <v>838.81999768106652</v>
      </c>
      <c r="AH79">
        <v>1.4501918980689922E-2</v>
      </c>
      <c r="AJ79">
        <v>4.837491739016734</v>
      </c>
      <c r="AQ79">
        <v>1024986</v>
      </c>
      <c r="AR79">
        <v>0</v>
      </c>
      <c r="AS79">
        <v>751.85241174295277</v>
      </c>
      <c r="AT79">
        <v>1.3614595316220352E-2</v>
      </c>
      <c r="AV79">
        <v>4.2671811475425283</v>
      </c>
      <c r="BC79">
        <v>1024986</v>
      </c>
      <c r="BD79">
        <v>0</v>
      </c>
      <c r="BE79">
        <v>809.87152013761943</v>
      </c>
      <c r="BF79">
        <v>1.4154633671309064E-2</v>
      </c>
      <c r="BH79">
        <v>4.6467557863178266</v>
      </c>
      <c r="BO79">
        <v>1024986</v>
      </c>
      <c r="BP79">
        <v>0</v>
      </c>
      <c r="BQ79">
        <v>767.4338043669436</v>
      </c>
      <c r="BR79">
        <v>1.3661482943781817E-2</v>
      </c>
      <c r="BT79">
        <v>4.3687512934319948</v>
      </c>
      <c r="CA79">
        <v>1024986</v>
      </c>
      <c r="CB79">
        <v>0</v>
      </c>
      <c r="CC79">
        <v>778.9333102230953</v>
      </c>
      <c r="CD79">
        <v>1.389438843800673E-2</v>
      </c>
      <c r="CF79">
        <v>4.4438884789457829</v>
      </c>
      <c r="DB79">
        <v>1024986</v>
      </c>
      <c r="DC79">
        <v>2</v>
      </c>
      <c r="DD79">
        <v>0</v>
      </c>
      <c r="DE79">
        <v>0</v>
      </c>
      <c r="DF79">
        <v>8.1369863013698662</v>
      </c>
      <c r="DG79">
        <v>8.317808219178179</v>
      </c>
      <c r="DH79">
        <v>8.317808219178179</v>
      </c>
      <c r="DI79">
        <v>8.2273972602739498</v>
      </c>
      <c r="DJ79">
        <v>16.454794520548045</v>
      </c>
      <c r="DK79">
        <v>16.545205479452129</v>
      </c>
      <c r="DL79">
        <v>33.090410958904258</v>
      </c>
      <c r="DM79">
        <v>33.000000000000171</v>
      </c>
      <c r="DN79">
        <v>33.000000000000171</v>
      </c>
      <c r="DO79">
        <v>676.45479452054815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</row>
    <row r="80" spans="1:126">
      <c r="G80">
        <v>1032484</v>
      </c>
      <c r="H80">
        <v>0</v>
      </c>
      <c r="I80">
        <v>476.78746728036276</v>
      </c>
      <c r="J80">
        <v>8.4608792461733882E-3</v>
      </c>
      <c r="L80">
        <v>0.17084450616040542</v>
      </c>
      <c r="S80">
        <v>1032484</v>
      </c>
      <c r="T80">
        <v>0</v>
      </c>
      <c r="U80">
        <v>484.62906403483618</v>
      </c>
      <c r="V80">
        <v>8.9245357353154742E-3</v>
      </c>
      <c r="X80">
        <v>0.17078159675361457</v>
      </c>
      <c r="AE80">
        <v>1032484</v>
      </c>
      <c r="AF80">
        <v>0</v>
      </c>
      <c r="AG80">
        <v>475.94999999999993</v>
      </c>
      <c r="AH80">
        <v>8.2284499152864687E-3</v>
      </c>
      <c r="AJ80">
        <v>0.17086101769080603</v>
      </c>
      <c r="AQ80">
        <v>1032484</v>
      </c>
      <c r="AR80">
        <v>0</v>
      </c>
      <c r="AS80">
        <v>488.04765768056933</v>
      </c>
      <c r="AT80">
        <v>8.8376006388629826E-3</v>
      </c>
      <c r="AV80">
        <v>0.1707695667365465</v>
      </c>
      <c r="BC80">
        <v>1032484</v>
      </c>
      <c r="BD80">
        <v>0</v>
      </c>
      <c r="BE80">
        <v>475.94999999999993</v>
      </c>
      <c r="BF80">
        <v>8.3184773489932869E-3</v>
      </c>
      <c r="BH80">
        <v>0.17086101769080603</v>
      </c>
      <c r="BO80">
        <v>1032484</v>
      </c>
      <c r="BP80">
        <v>0</v>
      </c>
      <c r="BQ80">
        <v>475.94999999999993</v>
      </c>
      <c r="BR80">
        <v>8.4726301735647512E-3</v>
      </c>
      <c r="BT80">
        <v>0.17086101769080603</v>
      </c>
      <c r="CA80">
        <v>1032484</v>
      </c>
      <c r="CB80">
        <v>0</v>
      </c>
      <c r="CC80">
        <v>485.65929661343057</v>
      </c>
      <c r="CD80">
        <v>8.6630509019359377E-3</v>
      </c>
      <c r="CF80">
        <v>0.17078936078749235</v>
      </c>
      <c r="DB80">
        <v>1032484</v>
      </c>
      <c r="DC80">
        <v>1</v>
      </c>
      <c r="DD80">
        <v>0</v>
      </c>
      <c r="DE80">
        <v>0</v>
      </c>
      <c r="DF80">
        <v>1.4883255370000348</v>
      </c>
      <c r="DG80">
        <v>0</v>
      </c>
      <c r="DH80">
        <v>0</v>
      </c>
      <c r="DI80">
        <v>478.57915373674598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</row>
    <row r="81" spans="7:126">
      <c r="G81">
        <v>1032485</v>
      </c>
      <c r="H81">
        <v>0</v>
      </c>
      <c r="I81">
        <v>200.28118663043625</v>
      </c>
      <c r="J81">
        <v>3.554109643498656E-3</v>
      </c>
      <c r="L81">
        <v>0.17048048303759691</v>
      </c>
      <c r="S81">
        <v>1032485</v>
      </c>
      <c r="T81">
        <v>0</v>
      </c>
      <c r="U81">
        <v>200.5835152543398</v>
      </c>
      <c r="V81">
        <v>3.6937833131565441E-3</v>
      </c>
      <c r="X81">
        <v>0.17045510239034029</v>
      </c>
      <c r="AE81">
        <v>1032485</v>
      </c>
      <c r="AF81">
        <v>0</v>
      </c>
      <c r="AG81">
        <v>200.24931506849316</v>
      </c>
      <c r="AH81">
        <v>3.4620053779000235E-3</v>
      </c>
      <c r="AJ81">
        <v>0.17048724586710007</v>
      </c>
      <c r="AQ81">
        <v>1032485</v>
      </c>
      <c r="AR81">
        <v>0</v>
      </c>
      <c r="AS81">
        <v>200.71591123562982</v>
      </c>
      <c r="AT81">
        <v>3.6345775611261377E-3</v>
      </c>
      <c r="AV81">
        <v>0.17044985675792107</v>
      </c>
      <c r="BC81">
        <v>1032485</v>
      </c>
      <c r="BD81">
        <v>0</v>
      </c>
      <c r="BE81">
        <v>200.24931506849316</v>
      </c>
      <c r="BF81">
        <v>3.4998831632496708E-3</v>
      </c>
      <c r="BH81">
        <v>0.17048724586710007</v>
      </c>
      <c r="BO81">
        <v>1032485</v>
      </c>
      <c r="BP81">
        <v>0</v>
      </c>
      <c r="BQ81">
        <v>200.24931506849316</v>
      </c>
      <c r="BR81">
        <v>3.5647408111881291E-3</v>
      </c>
      <c r="BT81">
        <v>0.17048724586710007</v>
      </c>
      <c r="CA81">
        <v>1032485</v>
      </c>
      <c r="CB81">
        <v>0</v>
      </c>
      <c r="CC81">
        <v>200.62387701309362</v>
      </c>
      <c r="CD81">
        <v>3.5786710371397872E-3</v>
      </c>
      <c r="CF81">
        <v>0.17045793089625955</v>
      </c>
      <c r="DB81">
        <v>1032485</v>
      </c>
      <c r="DC81">
        <v>1</v>
      </c>
      <c r="DD81">
        <v>0</v>
      </c>
      <c r="DE81">
        <v>0</v>
      </c>
      <c r="DF81">
        <v>201.65842803208378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</row>
    <row r="82" spans="7:126">
      <c r="G82">
        <v>1034850</v>
      </c>
      <c r="H82">
        <v>0</v>
      </c>
      <c r="I82">
        <v>707.38738531163108</v>
      </c>
      <c r="J82">
        <v>1.2553012942071819E-2</v>
      </c>
      <c r="L82">
        <v>0.18630136986301371</v>
      </c>
      <c r="S82">
        <v>1034850</v>
      </c>
      <c r="T82">
        <v>0</v>
      </c>
      <c r="U82">
        <v>711.74574497893616</v>
      </c>
      <c r="V82">
        <v>1.3106932305377902E-2</v>
      </c>
      <c r="X82">
        <v>0.18630136986301371</v>
      </c>
      <c r="AE82">
        <v>1034850</v>
      </c>
      <c r="AF82">
        <v>0</v>
      </c>
      <c r="AG82">
        <v>706.99199999999996</v>
      </c>
      <c r="AH82">
        <v>1.2222813872272743E-2</v>
      </c>
      <c r="AJ82">
        <v>0.18630136986301371</v>
      </c>
      <c r="AQ82">
        <v>1034850</v>
      </c>
      <c r="AR82">
        <v>0</v>
      </c>
      <c r="AS82">
        <v>712.58390211152903</v>
      </c>
      <c r="AT82">
        <v>1.2903518436033773E-2</v>
      </c>
      <c r="AV82">
        <v>0.18630136986301371</v>
      </c>
      <c r="BC82">
        <v>1034850</v>
      </c>
      <c r="BD82">
        <v>0</v>
      </c>
      <c r="BE82">
        <v>706.99199999999996</v>
      </c>
      <c r="BF82">
        <v>1.2356543624161073E-2</v>
      </c>
      <c r="BH82">
        <v>0.18630136986301371</v>
      </c>
      <c r="BO82">
        <v>1034850</v>
      </c>
      <c r="BP82">
        <v>0</v>
      </c>
      <c r="BQ82">
        <v>706.99199999999996</v>
      </c>
      <c r="BR82">
        <v>1.2585527369826434E-2</v>
      </c>
      <c r="BT82">
        <v>0.18630136986301371</v>
      </c>
      <c r="CA82">
        <v>1034850</v>
      </c>
      <c r="CB82">
        <v>0</v>
      </c>
      <c r="CC82">
        <v>711.48902856917709</v>
      </c>
      <c r="CD82">
        <v>1.2691336732651524E-2</v>
      </c>
      <c r="CF82">
        <v>0.18630136986301371</v>
      </c>
      <c r="DB82">
        <v>1034850</v>
      </c>
      <c r="DC82">
        <v>1</v>
      </c>
      <c r="DD82">
        <v>0</v>
      </c>
      <c r="DE82">
        <v>0</v>
      </c>
      <c r="DF82">
        <v>0.63357555069747584</v>
      </c>
      <c r="DG82">
        <v>711.67191595729514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</row>
    <row r="83" spans="7:126">
      <c r="G83">
        <v>1034883</v>
      </c>
      <c r="H83">
        <v>0</v>
      </c>
      <c r="I83">
        <v>836.87186783662332</v>
      </c>
      <c r="J83">
        <v>1.4850792657520999E-2</v>
      </c>
      <c r="L83">
        <v>0.75061892907848682</v>
      </c>
      <c r="S83">
        <v>1034883</v>
      </c>
      <c r="T83">
        <v>0</v>
      </c>
      <c r="U83">
        <v>824.49424804664159</v>
      </c>
      <c r="V83">
        <v>1.5183217281672129E-2</v>
      </c>
      <c r="X83">
        <v>0.73951701961131633</v>
      </c>
      <c r="AE83">
        <v>1034883</v>
      </c>
      <c r="AF83">
        <v>0</v>
      </c>
      <c r="AG83">
        <v>840</v>
      </c>
      <c r="AH83">
        <v>1.4522319421873379E-2</v>
      </c>
      <c r="AJ83">
        <v>0.75342465753730237</v>
      </c>
      <c r="AQ83">
        <v>1034883</v>
      </c>
      <c r="AR83">
        <v>0</v>
      </c>
      <c r="AS83">
        <v>821.54641407842826</v>
      </c>
      <c r="AT83">
        <v>1.4876619116297774E-2</v>
      </c>
      <c r="AV83">
        <v>0.73687300675658296</v>
      </c>
      <c r="BC83">
        <v>1034883</v>
      </c>
      <c r="BD83">
        <v>0</v>
      </c>
      <c r="BE83">
        <v>840</v>
      </c>
      <c r="BF83">
        <v>1.4681208053691275E-2</v>
      </c>
      <c r="BH83">
        <v>0.75342465753730237</v>
      </c>
      <c r="BO83">
        <v>1034883</v>
      </c>
      <c r="BP83">
        <v>0</v>
      </c>
      <c r="BQ83">
        <v>840</v>
      </c>
      <c r="BR83">
        <v>1.4953271028037384E-2</v>
      </c>
      <c r="BT83">
        <v>0.75342465753730237</v>
      </c>
      <c r="CA83">
        <v>1034883</v>
      </c>
      <c r="CB83">
        <v>0</v>
      </c>
      <c r="CC83">
        <v>825.50933658325528</v>
      </c>
      <c r="CD83">
        <v>1.4725198205227436E-2</v>
      </c>
      <c r="CF83">
        <v>0.74042748715068663</v>
      </c>
      <c r="DB83">
        <v>1034883</v>
      </c>
      <c r="DC83">
        <v>2</v>
      </c>
      <c r="DD83">
        <v>0</v>
      </c>
      <c r="DE83">
        <v>0</v>
      </c>
      <c r="DF83">
        <v>0</v>
      </c>
      <c r="DG83">
        <v>0</v>
      </c>
      <c r="DH83">
        <v>840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</row>
    <row r="84" spans="7:126">
      <c r="G84">
        <v>1060706</v>
      </c>
      <c r="H84">
        <v>0</v>
      </c>
      <c r="I84">
        <v>577.1373413088146</v>
      </c>
      <c r="J84">
        <v>1.0241647879557329E-2</v>
      </c>
      <c r="L84">
        <v>0.25022656107178093</v>
      </c>
      <c r="S84">
        <v>1060706</v>
      </c>
      <c r="T84">
        <v>0</v>
      </c>
      <c r="U84">
        <v>579.97057466226295</v>
      </c>
      <c r="V84">
        <v>1.0680267658550411E-2</v>
      </c>
      <c r="X84">
        <v>0.24991039820323524</v>
      </c>
      <c r="AE84">
        <v>1060706</v>
      </c>
      <c r="AF84">
        <v>0</v>
      </c>
      <c r="AG84">
        <v>576.83770804602693</v>
      </c>
      <c r="AH84">
        <v>9.9726445843163602E-3</v>
      </c>
      <c r="AJ84">
        <v>0.25032642090986051</v>
      </c>
      <c r="AQ84">
        <v>1060706</v>
      </c>
      <c r="AR84">
        <v>0</v>
      </c>
      <c r="AS84">
        <v>580.48313246555779</v>
      </c>
      <c r="AT84">
        <v>1.0511428590206392E-2</v>
      </c>
      <c r="AV84">
        <v>0.24997292441135849</v>
      </c>
      <c r="BC84">
        <v>1060706</v>
      </c>
      <c r="BD84">
        <v>0</v>
      </c>
      <c r="BE84">
        <v>576.83770804602693</v>
      </c>
      <c r="BF84">
        <v>1.0081755244093032E-2</v>
      </c>
      <c r="BH84">
        <v>0.25032642090986051</v>
      </c>
      <c r="BO84">
        <v>1060706</v>
      </c>
      <c r="BP84">
        <v>0</v>
      </c>
      <c r="BQ84">
        <v>576.83427233763882</v>
      </c>
      <c r="BR84">
        <v>1.0268522872054096E-2</v>
      </c>
      <c r="BT84">
        <v>0.25030370221090587</v>
      </c>
      <c r="CA84">
        <v>1060706</v>
      </c>
      <c r="CB84">
        <v>0</v>
      </c>
      <c r="CC84">
        <v>579.77094984992334</v>
      </c>
      <c r="CD84">
        <v>1.0341787514491774E-2</v>
      </c>
      <c r="CF84">
        <v>0.25005623812282929</v>
      </c>
      <c r="DB84">
        <v>1060706</v>
      </c>
      <c r="DC84">
        <v>1</v>
      </c>
      <c r="DD84">
        <v>0</v>
      </c>
      <c r="DE84">
        <v>0</v>
      </c>
      <c r="DF84">
        <v>0.9096836482669971</v>
      </c>
      <c r="DG84">
        <v>587.23138632609482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</row>
    <row r="85" spans="7:126">
      <c r="G85">
        <v>1060707</v>
      </c>
      <c r="H85">
        <v>0</v>
      </c>
      <c r="I85">
        <v>530.51871215946028</v>
      </c>
      <c r="J85">
        <v>9.4143723764810519E-3</v>
      </c>
      <c r="L85">
        <v>0.75165597813822516</v>
      </c>
      <c r="S85">
        <v>1060707</v>
      </c>
      <c r="T85">
        <v>0</v>
      </c>
      <c r="U85">
        <v>533.07444909125161</v>
      </c>
      <c r="V85">
        <v>9.816666649931893E-3</v>
      </c>
      <c r="X85">
        <v>0.75156372519606329</v>
      </c>
      <c r="AE85">
        <v>1060707</v>
      </c>
      <c r="AF85">
        <v>0</v>
      </c>
      <c r="AG85">
        <v>529.94216879999988</v>
      </c>
      <c r="AH85">
        <v>9.1618922028975456E-3</v>
      </c>
      <c r="AJ85">
        <v>0.75168293550488752</v>
      </c>
      <c r="AQ85">
        <v>1060707</v>
      </c>
      <c r="AR85">
        <v>0</v>
      </c>
      <c r="AS85">
        <v>533.16936901707959</v>
      </c>
      <c r="AT85">
        <v>9.6546676991358747E-3</v>
      </c>
      <c r="AV85">
        <v>0.7515793016779132</v>
      </c>
      <c r="BC85">
        <v>1060707</v>
      </c>
      <c r="BD85">
        <v>0</v>
      </c>
      <c r="BE85">
        <v>529.94216879999988</v>
      </c>
      <c r="BF85">
        <v>9.262132424496642E-3</v>
      </c>
      <c r="BH85">
        <v>0.75168293550488752</v>
      </c>
      <c r="BO85">
        <v>1060707</v>
      </c>
      <c r="BP85">
        <v>0</v>
      </c>
      <c r="BQ85">
        <v>529.94216879999988</v>
      </c>
      <c r="BR85">
        <v>9.433772475300398E-3</v>
      </c>
      <c r="BT85">
        <v>0.75168293550488752</v>
      </c>
      <c r="CA85">
        <v>1060707</v>
      </c>
      <c r="CB85">
        <v>0</v>
      </c>
      <c r="CC85">
        <v>532.51668068734853</v>
      </c>
      <c r="CD85">
        <v>9.4988794471619932E-3</v>
      </c>
      <c r="CF85">
        <v>0.75160338064076615</v>
      </c>
      <c r="DB85">
        <v>1060707</v>
      </c>
      <c r="DC85">
        <v>1</v>
      </c>
      <c r="DD85">
        <v>0</v>
      </c>
      <c r="DE85">
        <v>0</v>
      </c>
      <c r="DF85">
        <v>0</v>
      </c>
      <c r="DG85">
        <v>0</v>
      </c>
      <c r="DH85">
        <v>2.877464782568933</v>
      </c>
      <c r="DI85">
        <v>532.30753941396472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</row>
    <row r="86" spans="7:126">
      <c r="G86">
        <v>1060708</v>
      </c>
      <c r="H86">
        <v>0</v>
      </c>
      <c r="I86">
        <v>529.27924878766908</v>
      </c>
      <c r="J86">
        <v>9.3923773563967389E-3</v>
      </c>
      <c r="L86">
        <v>0.24676242995568862</v>
      </c>
      <c r="S86">
        <v>1060708</v>
      </c>
      <c r="T86">
        <v>0</v>
      </c>
      <c r="U86">
        <v>529.2753669636802</v>
      </c>
      <c r="V86">
        <v>9.7467058351045095E-3</v>
      </c>
      <c r="X86">
        <v>0.24675607936607344</v>
      </c>
      <c r="AE86">
        <v>1060708</v>
      </c>
      <c r="AF86">
        <v>0</v>
      </c>
      <c r="AG86">
        <v>529.27997655123295</v>
      </c>
      <c r="AH86">
        <v>9.150443908426972E-3</v>
      </c>
      <c r="AJ86">
        <v>0.24676373224170264</v>
      </c>
      <c r="AQ86">
        <v>1060708</v>
      </c>
      <c r="AR86">
        <v>0</v>
      </c>
      <c r="AS86">
        <v>529.2750515386324</v>
      </c>
      <c r="AT86">
        <v>9.5841491297014407E-3</v>
      </c>
      <c r="AV86">
        <v>0.24675568353068061</v>
      </c>
      <c r="BC86">
        <v>1060708</v>
      </c>
      <c r="BD86">
        <v>0</v>
      </c>
      <c r="BE86">
        <v>529.27997655123295</v>
      </c>
      <c r="BF86">
        <v>9.2505588742874886E-3</v>
      </c>
      <c r="BH86">
        <v>0.24676373224170264</v>
      </c>
      <c r="BO86">
        <v>1060708</v>
      </c>
      <c r="BP86">
        <v>0</v>
      </c>
      <c r="BQ86">
        <v>529.27997655123295</v>
      </c>
      <c r="BR86">
        <v>9.4219844512903068E-3</v>
      </c>
      <c r="BT86">
        <v>0.24676373224170264</v>
      </c>
      <c r="CA86">
        <v>1060708</v>
      </c>
      <c r="CB86">
        <v>0</v>
      </c>
      <c r="CC86">
        <v>529.27603805375315</v>
      </c>
      <c r="CD86">
        <v>9.4410737955754123E-3</v>
      </c>
      <c r="CF86">
        <v>0.24675728824962437</v>
      </c>
      <c r="DB86">
        <v>1060708</v>
      </c>
      <c r="DC86">
        <v>1</v>
      </c>
      <c r="DD86">
        <v>0</v>
      </c>
      <c r="DE86">
        <v>0</v>
      </c>
      <c r="DF86">
        <v>531.22935182513595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</row>
    <row r="87" spans="7:126">
      <c r="G87">
        <v>1063117</v>
      </c>
      <c r="H87">
        <v>0.76438356164385546</v>
      </c>
      <c r="I87">
        <v>209.67947408930263</v>
      </c>
      <c r="J87">
        <v>3.7208878848896689E-3</v>
      </c>
      <c r="L87">
        <v>3.7939022507396971</v>
      </c>
      <c r="S87">
        <v>1063117</v>
      </c>
      <c r="T87">
        <v>0.76438356164385546</v>
      </c>
      <c r="U87">
        <v>194.98200299018905</v>
      </c>
      <c r="V87">
        <v>3.5906304069791548E-3</v>
      </c>
      <c r="X87">
        <v>3.4944626049646481</v>
      </c>
      <c r="AE87">
        <v>1063117</v>
      </c>
      <c r="AF87">
        <v>0.76438356164385546</v>
      </c>
      <c r="AG87">
        <v>220.51232876712328</v>
      </c>
      <c r="AH87">
        <v>3.8123219938301454E-3</v>
      </c>
      <c r="AJ87">
        <v>4.0160872742749536</v>
      </c>
      <c r="AQ87">
        <v>1063117</v>
      </c>
      <c r="AR87">
        <v>0.76438356164385546</v>
      </c>
      <c r="AS87">
        <v>201.50172334909902</v>
      </c>
      <c r="AT87">
        <v>3.6488071010629258E-3</v>
      </c>
      <c r="AV87">
        <v>3.6269959424600011</v>
      </c>
      <c r="BC87">
        <v>1063117</v>
      </c>
      <c r="BD87">
        <v>0.76438356164385546</v>
      </c>
      <c r="BE87">
        <v>216.43068417208167</v>
      </c>
      <c r="BF87">
        <v>3.7826951232536646E-3</v>
      </c>
      <c r="BH87">
        <v>3.9322301022080182</v>
      </c>
      <c r="BO87">
        <v>1063117</v>
      </c>
      <c r="BP87">
        <v>0.76438356164385546</v>
      </c>
      <c r="BQ87">
        <v>208.23486164965379</v>
      </c>
      <c r="BR87">
        <v>3.7068956234918345E-3</v>
      </c>
      <c r="BT87">
        <v>3.764365330140556</v>
      </c>
      <c r="CA87">
        <v>1063117</v>
      </c>
      <c r="CB87">
        <v>0.76438356164385546</v>
      </c>
      <c r="CC87">
        <v>207.48080549187057</v>
      </c>
      <c r="CD87">
        <v>3.7009829559207035E-3</v>
      </c>
      <c r="CF87">
        <v>3.7489565715822408</v>
      </c>
      <c r="DB87">
        <v>1063117</v>
      </c>
      <c r="DC87">
        <v>3</v>
      </c>
      <c r="DD87">
        <v>0</v>
      </c>
      <c r="DE87">
        <v>0.76438356164385546</v>
      </c>
      <c r="DF87">
        <v>2.2191780821918217</v>
      </c>
      <c r="DG87">
        <v>2.2438356164383499</v>
      </c>
      <c r="DH87">
        <v>2.2684931506849582</v>
      </c>
      <c r="DI87">
        <v>1.5041095890411027</v>
      </c>
      <c r="DJ87">
        <v>5.2273972602740271</v>
      </c>
      <c r="DK87">
        <v>3.7726027397260609</v>
      </c>
      <c r="DL87">
        <v>9.0246575342466571</v>
      </c>
      <c r="DM87">
        <v>9.0000000000000888</v>
      </c>
      <c r="DN87">
        <v>184.48767123287678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</row>
    <row r="88" spans="7:126">
      <c r="G88">
        <v>1067339</v>
      </c>
      <c r="H88">
        <v>0</v>
      </c>
      <c r="I88">
        <v>901.55305083383178</v>
      </c>
      <c r="J88">
        <v>1.5998598999748575E-2</v>
      </c>
      <c r="L88">
        <v>2.035505666700125</v>
      </c>
      <c r="S88">
        <v>1067339</v>
      </c>
      <c r="T88">
        <v>0</v>
      </c>
      <c r="U88">
        <v>866.33684484112587</v>
      </c>
      <c r="V88">
        <v>1.59537566035233E-2</v>
      </c>
      <c r="X88">
        <v>1.9502889842784519</v>
      </c>
      <c r="AE88">
        <v>1067339</v>
      </c>
      <c r="AF88">
        <v>0</v>
      </c>
      <c r="AG88">
        <v>911.19452054794556</v>
      </c>
      <c r="AH88">
        <v>1.575316414625956E-2</v>
      </c>
      <c r="AJ88">
        <v>2.0588684117462579</v>
      </c>
      <c r="AQ88">
        <v>1067339</v>
      </c>
      <c r="AR88">
        <v>0</v>
      </c>
      <c r="AS88">
        <v>870.2341751189781</v>
      </c>
      <c r="AT88">
        <v>1.575826045051025E-2</v>
      </c>
      <c r="AV88">
        <v>1.9597105257070124</v>
      </c>
      <c r="BC88">
        <v>1067339</v>
      </c>
      <c r="BD88">
        <v>0</v>
      </c>
      <c r="BE88">
        <v>911.19452054794556</v>
      </c>
      <c r="BF88">
        <v>1.5925519444699832E-2</v>
      </c>
      <c r="BH88">
        <v>2.0588684117462579</v>
      </c>
      <c r="BO88">
        <v>1067339</v>
      </c>
      <c r="BP88">
        <v>0</v>
      </c>
      <c r="BQ88">
        <v>909.45814280543482</v>
      </c>
      <c r="BR88">
        <v>1.6189731069077611E-2</v>
      </c>
      <c r="BT88">
        <v>2.0546599059105235</v>
      </c>
      <c r="CA88">
        <v>1067339</v>
      </c>
      <c r="CB88">
        <v>0</v>
      </c>
      <c r="CC88">
        <v>882.75297525363032</v>
      </c>
      <c r="CD88">
        <v>1.5746293773811211E-2</v>
      </c>
      <c r="CF88">
        <v>1.9899896745909571</v>
      </c>
      <c r="DB88">
        <v>1067339</v>
      </c>
      <c r="DC88">
        <v>3</v>
      </c>
      <c r="DD88">
        <v>0</v>
      </c>
      <c r="DE88">
        <v>0</v>
      </c>
      <c r="DF88">
        <v>20.083561643835594</v>
      </c>
      <c r="DG88">
        <v>0</v>
      </c>
      <c r="DH88">
        <v>20.416438356164445</v>
      </c>
      <c r="DI88">
        <v>0</v>
      </c>
      <c r="DJ88">
        <v>20.083561643835594</v>
      </c>
      <c r="DK88">
        <v>20.416438356164445</v>
      </c>
      <c r="DL88">
        <v>830.1945205479451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</row>
    <row r="89" spans="7:126">
      <c r="G89">
        <v>1083051</v>
      </c>
      <c r="H89">
        <v>0</v>
      </c>
      <c r="I89">
        <v>1138.0632969393378</v>
      </c>
      <c r="J89">
        <v>2.0195615008151223E-2</v>
      </c>
      <c r="L89">
        <v>2.0157359912891013</v>
      </c>
      <c r="S89">
        <v>1083051</v>
      </c>
      <c r="T89">
        <v>0</v>
      </c>
      <c r="U89">
        <v>1094.0432990355052</v>
      </c>
      <c r="V89">
        <v>2.0147013959366983E-2</v>
      </c>
      <c r="X89">
        <v>1.9302847557933756</v>
      </c>
      <c r="AE89">
        <v>1083051</v>
      </c>
      <c r="AF89">
        <v>0</v>
      </c>
      <c r="AG89">
        <v>1150.1369863013699</v>
      </c>
      <c r="AH89">
        <v>1.9884115111880121E-2</v>
      </c>
      <c r="AJ89">
        <v>2.0392055577672346</v>
      </c>
      <c r="AQ89">
        <v>1083051</v>
      </c>
      <c r="AR89">
        <v>0</v>
      </c>
      <c r="AS89">
        <v>1098.9555742881669</v>
      </c>
      <c r="AT89">
        <v>1.9899963318270441E-2</v>
      </c>
      <c r="AV89">
        <v>1.9398110702107065</v>
      </c>
      <c r="BC89">
        <v>1083051</v>
      </c>
      <c r="BD89">
        <v>0</v>
      </c>
      <c r="BE89">
        <v>1150.1369863013699</v>
      </c>
      <c r="BF89">
        <v>2.0101667126352241E-2</v>
      </c>
      <c r="BH89">
        <v>2.0392055577672346</v>
      </c>
      <c r="BO89">
        <v>1083051</v>
      </c>
      <c r="BP89">
        <v>0</v>
      </c>
      <c r="BQ89">
        <v>1147.9405920293416</v>
      </c>
      <c r="BR89">
        <v>2.043507951988147E-2</v>
      </c>
      <c r="BT89">
        <v>2.0349350659944365</v>
      </c>
      <c r="CA89">
        <v>1083051</v>
      </c>
      <c r="CB89">
        <v>0</v>
      </c>
      <c r="CC89">
        <v>1114.6087840539456</v>
      </c>
      <c r="CD89">
        <v>1.9882071030733407E-2</v>
      </c>
      <c r="CF89">
        <v>1.9701829803014987</v>
      </c>
      <c r="DB89">
        <v>1083051</v>
      </c>
      <c r="DC89">
        <v>1</v>
      </c>
      <c r="DD89">
        <v>0</v>
      </c>
      <c r="DE89">
        <v>0</v>
      </c>
      <c r="DF89">
        <v>50.000000000000043</v>
      </c>
      <c r="DG89">
        <v>0</v>
      </c>
      <c r="DH89">
        <v>0</v>
      </c>
      <c r="DI89">
        <v>0</v>
      </c>
      <c r="DJ89">
        <v>50.000000000000043</v>
      </c>
      <c r="DK89">
        <v>0</v>
      </c>
      <c r="DL89">
        <v>1050.1369863013699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</row>
    <row r="90" spans="7:126">
      <c r="G90">
        <v>1088745</v>
      </c>
      <c r="H90">
        <v>261.10410958904112</v>
      </c>
      <c r="I90">
        <v>261.10249741663057</v>
      </c>
      <c r="J90">
        <v>4.6334202409254429E-3</v>
      </c>
      <c r="L90">
        <v>5.4794182222308195E-3</v>
      </c>
      <c r="S90">
        <v>1088745</v>
      </c>
      <c r="T90">
        <v>261.10410958904112</v>
      </c>
      <c r="U90">
        <v>261.07388675638174</v>
      </c>
      <c r="V90">
        <v>4.8077249278379048E-3</v>
      </c>
      <c r="X90">
        <v>5.4788178075481763E-3</v>
      </c>
      <c r="AE90">
        <v>1088745</v>
      </c>
      <c r="AF90">
        <v>261.10410958904112</v>
      </c>
      <c r="AG90">
        <v>261.10410958904112</v>
      </c>
      <c r="AH90">
        <v>4.5140920021617707E-3</v>
      </c>
      <c r="AJ90">
        <v>5.4794520547945518E-3</v>
      </c>
      <c r="AQ90">
        <v>1088745</v>
      </c>
      <c r="AR90">
        <v>261.10410958904112</v>
      </c>
      <c r="AS90">
        <v>261.05964246312942</v>
      </c>
      <c r="AT90">
        <v>4.7272860072274632E-3</v>
      </c>
      <c r="AV90">
        <v>5.4785188811082445E-3</v>
      </c>
      <c r="BC90">
        <v>1088745</v>
      </c>
      <c r="BD90">
        <v>261.10410958904112</v>
      </c>
      <c r="BE90">
        <v>261.10410958904112</v>
      </c>
      <c r="BF90">
        <v>4.5634806625601421E-3</v>
      </c>
      <c r="BH90">
        <v>5.4794520547945518E-3</v>
      </c>
      <c r="BO90">
        <v>1088745</v>
      </c>
      <c r="BP90">
        <v>261.10410958904112</v>
      </c>
      <c r="BQ90">
        <v>261.10410958904112</v>
      </c>
      <c r="BR90">
        <v>4.6480482347848887E-3</v>
      </c>
      <c r="BT90">
        <v>5.4794520547945518E-3</v>
      </c>
      <c r="CA90">
        <v>1088745</v>
      </c>
      <c r="CB90">
        <v>261.10410958904112</v>
      </c>
      <c r="CC90">
        <v>261.06822993525674</v>
      </c>
      <c r="CD90">
        <v>4.6568600263152057E-3</v>
      </c>
      <c r="CF90">
        <v>5.4786990952070081E-3</v>
      </c>
      <c r="DB90">
        <v>1088745</v>
      </c>
      <c r="DC90">
        <v>1</v>
      </c>
      <c r="DD90">
        <v>0</v>
      </c>
      <c r="DE90">
        <v>261.10410958904112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</row>
    <row r="91" spans="7:126">
      <c r="G91">
        <v>1088746</v>
      </c>
      <c r="H91">
        <v>96.197260273972617</v>
      </c>
      <c r="I91">
        <v>96.196666309483788</v>
      </c>
      <c r="J91">
        <v>1.7070674742597207E-3</v>
      </c>
      <c r="L91">
        <v>5.4794182222308186E-3</v>
      </c>
      <c r="S91">
        <v>1088746</v>
      </c>
      <c r="T91">
        <v>96.197260273972617</v>
      </c>
      <c r="U91">
        <v>96.186125429315723</v>
      </c>
      <c r="V91">
        <v>1.7712856643153365E-3</v>
      </c>
      <c r="X91">
        <v>5.4788178075481754E-3</v>
      </c>
      <c r="AE91">
        <v>1088746</v>
      </c>
      <c r="AF91">
        <v>96.197260273972617</v>
      </c>
      <c r="AG91">
        <v>96.197260273972617</v>
      </c>
      <c r="AH91">
        <v>1.6631039776282392E-3</v>
      </c>
      <c r="AJ91">
        <v>5.4794520547945509E-3</v>
      </c>
      <c r="AQ91">
        <v>1088746</v>
      </c>
      <c r="AR91">
        <v>96.197260273972617</v>
      </c>
      <c r="AS91">
        <v>96.180877476736313</v>
      </c>
      <c r="AT91">
        <v>1.7416499615517948E-3</v>
      </c>
      <c r="AV91">
        <v>5.4785188811082427E-3</v>
      </c>
      <c r="BC91">
        <v>1088746</v>
      </c>
      <c r="BD91">
        <v>96.197260273972617</v>
      </c>
      <c r="BE91">
        <v>96.197260273972617</v>
      </c>
      <c r="BF91">
        <v>1.6812999908062888E-3</v>
      </c>
      <c r="BH91">
        <v>5.4794520547945509E-3</v>
      </c>
      <c r="BO91">
        <v>1088746</v>
      </c>
      <c r="BP91">
        <v>96.197260273972617</v>
      </c>
      <c r="BQ91">
        <v>96.197260273972617</v>
      </c>
      <c r="BR91">
        <v>1.7124567917040075E-3</v>
      </c>
      <c r="BT91">
        <v>5.4794520547945509E-3</v>
      </c>
      <c r="CA91">
        <v>1088746</v>
      </c>
      <c r="CB91">
        <v>96.197260273972617</v>
      </c>
      <c r="CC91">
        <v>96.184041315454238</v>
      </c>
      <c r="CD91">
        <v>1.7157032752796817E-3</v>
      </c>
      <c r="CF91">
        <v>5.4786990952070081E-3</v>
      </c>
      <c r="DB91">
        <v>1088746</v>
      </c>
      <c r="DC91">
        <v>1</v>
      </c>
      <c r="DD91">
        <v>0</v>
      </c>
      <c r="DE91">
        <v>96.197260273972617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</row>
    <row r="92" spans="7:126">
      <c r="G92">
        <v>1091914</v>
      </c>
      <c r="H92">
        <v>0</v>
      </c>
      <c r="I92">
        <v>243.64111843118977</v>
      </c>
      <c r="J92">
        <v>4.3235576098663714E-3</v>
      </c>
      <c r="L92">
        <v>0.34222007974136659</v>
      </c>
      <c r="S92">
        <v>1091914</v>
      </c>
      <c r="T92">
        <v>0</v>
      </c>
      <c r="U92">
        <v>244.36931795536481</v>
      </c>
      <c r="V92">
        <v>4.5001071387467508E-3</v>
      </c>
      <c r="X92">
        <v>0.34128837131448181</v>
      </c>
      <c r="AE92">
        <v>1091914</v>
      </c>
      <c r="AF92">
        <v>0</v>
      </c>
      <c r="AG92">
        <v>243.21758271440933</v>
      </c>
      <c r="AH92">
        <v>4.2048612204697161E-3</v>
      </c>
      <c r="AJ92">
        <v>0.34317852284628397</v>
      </c>
      <c r="AQ92">
        <v>1091914</v>
      </c>
      <c r="AR92">
        <v>0</v>
      </c>
      <c r="AS92">
        <v>244.6704151902413</v>
      </c>
      <c r="AT92">
        <v>4.4305087496422082E-3</v>
      </c>
      <c r="AV92">
        <v>0.34150070628824714</v>
      </c>
      <c r="BC92">
        <v>1091914</v>
      </c>
      <c r="BD92">
        <v>0</v>
      </c>
      <c r="BE92">
        <v>243.20714675895474</v>
      </c>
      <c r="BF92">
        <v>4.2506841925152887E-3</v>
      </c>
      <c r="BH92">
        <v>0.34293074645726612</v>
      </c>
      <c r="BO92">
        <v>1091914</v>
      </c>
      <c r="BP92">
        <v>0</v>
      </c>
      <c r="BQ92">
        <v>243.18286808636236</v>
      </c>
      <c r="BR92">
        <v>4.3290230188938556E-3</v>
      </c>
      <c r="BT92">
        <v>0.34237153864022485</v>
      </c>
      <c r="CA92">
        <v>1091914</v>
      </c>
      <c r="CB92">
        <v>0</v>
      </c>
      <c r="CC92">
        <v>244.44829522092843</v>
      </c>
      <c r="CD92">
        <v>4.3603984092493607E-3</v>
      </c>
      <c r="CF92">
        <v>0.34184773660373541</v>
      </c>
      <c r="DB92">
        <v>1091914</v>
      </c>
      <c r="DC92">
        <v>1</v>
      </c>
      <c r="DD92">
        <v>0</v>
      </c>
      <c r="DE92">
        <v>0</v>
      </c>
      <c r="DF92">
        <v>0</v>
      </c>
      <c r="DG92">
        <v>256.77955881351181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</row>
    <row r="93" spans="7:126">
      <c r="G93">
        <v>1092656</v>
      </c>
      <c r="H93">
        <v>0</v>
      </c>
      <c r="I93">
        <v>419.13867845083792</v>
      </c>
      <c r="J93">
        <v>7.4378669514984013E-3</v>
      </c>
      <c r="L93">
        <v>3.831562201674227</v>
      </c>
      <c r="S93">
        <v>1092656</v>
      </c>
      <c r="T93">
        <v>0</v>
      </c>
      <c r="U93">
        <v>389.46822501413567</v>
      </c>
      <c r="V93">
        <v>7.1721309138378297E-3</v>
      </c>
      <c r="X93">
        <v>3.5314795132510497</v>
      </c>
      <c r="AE93">
        <v>1092656</v>
      </c>
      <c r="AF93">
        <v>0</v>
      </c>
      <c r="AG93">
        <v>441.02465753424639</v>
      </c>
      <c r="AH93">
        <v>7.6246439876602881E-3</v>
      </c>
      <c r="AJ93">
        <v>4.0543680755147484</v>
      </c>
      <c r="AQ93">
        <v>1092656</v>
      </c>
      <c r="AR93">
        <v>0</v>
      </c>
      <c r="AS93">
        <v>402.6426389994711</v>
      </c>
      <c r="AT93">
        <v>7.2910806714376192E-3</v>
      </c>
      <c r="AV93">
        <v>3.6644328969243389</v>
      </c>
      <c r="BC93">
        <v>1092656</v>
      </c>
      <c r="BD93">
        <v>0</v>
      </c>
      <c r="BE93">
        <v>432.77267450965871</v>
      </c>
      <c r="BF93">
        <v>7.5638400886056121E-3</v>
      </c>
      <c r="BH93">
        <v>3.970221399802246</v>
      </c>
      <c r="BO93">
        <v>1092656</v>
      </c>
      <c r="BP93">
        <v>0</v>
      </c>
      <c r="BQ93">
        <v>416.21220199325427</v>
      </c>
      <c r="BR93">
        <v>7.4092069780730624E-3</v>
      </c>
      <c r="BT93">
        <v>3.8018609323652752</v>
      </c>
      <c r="CA93">
        <v>1092656</v>
      </c>
      <c r="CB93">
        <v>0</v>
      </c>
      <c r="CC93">
        <v>414.71489717669476</v>
      </c>
      <c r="CD93">
        <v>7.3975651018835693E-3</v>
      </c>
      <c r="CF93">
        <v>3.786673077074548</v>
      </c>
      <c r="DB93">
        <v>1092656</v>
      </c>
      <c r="DC93">
        <v>3</v>
      </c>
      <c r="DD93">
        <v>0</v>
      </c>
      <c r="DE93">
        <v>0</v>
      </c>
      <c r="DF93">
        <v>0</v>
      </c>
      <c r="DG93">
        <v>8.9753424657533998</v>
      </c>
      <c r="DH93">
        <v>0</v>
      </c>
      <c r="DI93">
        <v>9.0246575342465363</v>
      </c>
      <c r="DJ93">
        <v>8.9753424657533998</v>
      </c>
      <c r="DK93">
        <v>9.0246575342465363</v>
      </c>
      <c r="DL93">
        <v>18.049315068493073</v>
      </c>
      <c r="DM93">
        <v>17.999999999999936</v>
      </c>
      <c r="DN93">
        <v>368.97534246575339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</row>
    <row r="94" spans="7:126">
      <c r="G94">
        <v>1092658</v>
      </c>
      <c r="H94">
        <v>0</v>
      </c>
      <c r="I94">
        <v>1652.0339327451509</v>
      </c>
      <c r="J94">
        <v>2.9316331855926157E-2</v>
      </c>
      <c r="L94">
        <v>5.0292597407431856</v>
      </c>
      <c r="S94">
        <v>1092658</v>
      </c>
      <c r="T94">
        <v>0</v>
      </c>
      <c r="U94">
        <v>1502.8934590841059</v>
      </c>
      <c r="V94">
        <v>2.767606686709953E-2</v>
      </c>
      <c r="X94">
        <v>4.4990349544154276</v>
      </c>
      <c r="AE94">
        <v>1092658</v>
      </c>
      <c r="AF94">
        <v>0</v>
      </c>
      <c r="AG94">
        <v>1799.8508027084592</v>
      </c>
      <c r="AH94">
        <v>3.1116676510294584E-2</v>
      </c>
      <c r="AJ94">
        <v>5.5622082126103862</v>
      </c>
      <c r="AQ94">
        <v>1092658</v>
      </c>
      <c r="AR94">
        <v>0</v>
      </c>
      <c r="AS94">
        <v>1591.7077642242473</v>
      </c>
      <c r="AT94">
        <v>2.8822753951619717E-2</v>
      </c>
      <c r="AV94">
        <v>4.8138353124775275</v>
      </c>
      <c r="BC94">
        <v>1092658</v>
      </c>
      <c r="BD94">
        <v>0</v>
      </c>
      <c r="BE94">
        <v>1711.5470011043676</v>
      </c>
      <c r="BF94">
        <v>2.9913782877243562E-2</v>
      </c>
      <c r="BH94">
        <v>5.2429859840935542</v>
      </c>
      <c r="BO94">
        <v>1092658</v>
      </c>
      <c r="BP94">
        <v>0</v>
      </c>
      <c r="BQ94">
        <v>1609.8968421514501</v>
      </c>
      <c r="BR94">
        <v>2.8658599771276369E-2</v>
      </c>
      <c r="BT94">
        <v>4.8786557027760047</v>
      </c>
      <c r="CA94">
        <v>1092658</v>
      </c>
      <c r="CB94">
        <v>0</v>
      </c>
      <c r="CC94">
        <v>1657.6713748219236</v>
      </c>
      <c r="CD94">
        <v>2.9569065389877518E-2</v>
      </c>
      <c r="CF94">
        <v>5.0494546710049253</v>
      </c>
      <c r="DB94">
        <v>1092658</v>
      </c>
      <c r="DC94">
        <v>3</v>
      </c>
      <c r="DD94">
        <v>0</v>
      </c>
      <c r="DE94">
        <v>0</v>
      </c>
      <c r="DF94">
        <v>0</v>
      </c>
      <c r="DG94">
        <v>67.500000000000057</v>
      </c>
      <c r="DH94">
        <v>0</v>
      </c>
      <c r="DI94">
        <v>0</v>
      </c>
      <c r="DJ94">
        <v>67.500000000000057</v>
      </c>
      <c r="DK94">
        <v>0</v>
      </c>
      <c r="DL94">
        <v>67.684931506849324</v>
      </c>
      <c r="DM94">
        <v>67.500000000000057</v>
      </c>
      <c r="DN94">
        <v>67.500000000000057</v>
      </c>
      <c r="DO94">
        <v>67.500000000000057</v>
      </c>
      <c r="DP94">
        <v>1417.6849315068494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</row>
    <row r="95" spans="7:126">
      <c r="G95">
        <v>1110744</v>
      </c>
      <c r="H95">
        <v>0.21232876712329318</v>
      </c>
      <c r="I95">
        <v>58.076457572002226</v>
      </c>
      <c r="J95">
        <v>1.0306015327229243E-3</v>
      </c>
      <c r="L95">
        <v>3.6789006244237141</v>
      </c>
      <c r="S95">
        <v>1110744</v>
      </c>
      <c r="T95">
        <v>0.21232876712329318</v>
      </c>
      <c r="U95">
        <v>54.118664417817392</v>
      </c>
      <c r="V95">
        <v>9.9660542544274529E-4</v>
      </c>
      <c r="X95">
        <v>3.397574567645226</v>
      </c>
      <c r="AE95">
        <v>1110744</v>
      </c>
      <c r="AF95">
        <v>0.21232876712329318</v>
      </c>
      <c r="AG95">
        <v>60.835616438356332</v>
      </c>
      <c r="AH95">
        <v>1.0517550644575972E-3</v>
      </c>
      <c r="AJ95">
        <v>3.8762305170478868</v>
      </c>
      <c r="AQ95">
        <v>1110744</v>
      </c>
      <c r="AR95">
        <v>0.21232876712329318</v>
      </c>
      <c r="AS95">
        <v>55.791385653320418</v>
      </c>
      <c r="AT95">
        <v>1.0102742585347026E-3</v>
      </c>
      <c r="AV95">
        <v>3.5162165704977566</v>
      </c>
      <c r="BC95">
        <v>1110744</v>
      </c>
      <c r="BD95">
        <v>0.21232876712329318</v>
      </c>
      <c r="BE95">
        <v>59.872986376963311</v>
      </c>
      <c r="BF95">
        <v>1.0464378211857402E-3</v>
      </c>
      <c r="BH95">
        <v>3.8072771701737236</v>
      </c>
      <c r="BO95">
        <v>1110744</v>
      </c>
      <c r="BP95">
        <v>0.21232876712329318</v>
      </c>
      <c r="BQ95">
        <v>57.787677453138784</v>
      </c>
      <c r="BR95">
        <v>1.028708098854273E-3</v>
      </c>
      <c r="BT95">
        <v>3.6583033107535647</v>
      </c>
      <c r="CA95">
        <v>1110744</v>
      </c>
      <c r="CB95">
        <v>0.21232876712329318</v>
      </c>
      <c r="CC95">
        <v>57.385643674956533</v>
      </c>
      <c r="CD95">
        <v>1.0236286130278899E-3</v>
      </c>
      <c r="CF95">
        <v>3.6296461622787466</v>
      </c>
      <c r="DB95">
        <v>1110744</v>
      </c>
      <c r="DC95">
        <v>2</v>
      </c>
      <c r="DD95">
        <v>0</v>
      </c>
      <c r="DE95">
        <v>0.21232876712329318</v>
      </c>
      <c r="DF95">
        <v>0.61643835616439491</v>
      </c>
      <c r="DG95">
        <v>0.62328767123287498</v>
      </c>
      <c r="DH95">
        <v>0.63013698630137727</v>
      </c>
      <c r="DI95">
        <v>0.41780821917808408</v>
      </c>
      <c r="DJ95">
        <v>1.4520547945205631</v>
      </c>
      <c r="DK95">
        <v>1.0479452054794614</v>
      </c>
      <c r="DL95">
        <v>2.5068493150685156</v>
      </c>
      <c r="DM95">
        <v>2.5000000000000244</v>
      </c>
      <c r="DN95">
        <v>50.82876712328769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</row>
    <row r="96" spans="7:126">
      <c r="G96">
        <v>1115650</v>
      </c>
      <c r="H96">
        <v>0</v>
      </c>
      <c r="I96">
        <v>5353.8136709333594</v>
      </c>
      <c r="J96">
        <v>9.5006631014575516E-2</v>
      </c>
      <c r="L96">
        <v>5.0292597407431847</v>
      </c>
      <c r="S96">
        <v>1115650</v>
      </c>
      <c r="T96">
        <v>0</v>
      </c>
      <c r="U96">
        <v>4870.4880618466377</v>
      </c>
      <c r="V96">
        <v>8.9690957439674382E-2</v>
      </c>
      <c r="X96">
        <v>4.4990349544154267</v>
      </c>
      <c r="AE96">
        <v>1115650</v>
      </c>
      <c r="AF96">
        <v>0</v>
      </c>
      <c r="AG96">
        <v>5832.8498235922289</v>
      </c>
      <c r="AH96">
        <v>0.10084108128336207</v>
      </c>
      <c r="AJ96">
        <v>5.5622082126103862</v>
      </c>
      <c r="AQ96">
        <v>1115650</v>
      </c>
      <c r="AR96">
        <v>0</v>
      </c>
      <c r="AS96">
        <v>5158.3121988748753</v>
      </c>
      <c r="AT96">
        <v>9.3407072991360196E-2</v>
      </c>
      <c r="AV96">
        <v>4.8138353124775302</v>
      </c>
      <c r="BC96">
        <v>1115650</v>
      </c>
      <c r="BD96">
        <v>0</v>
      </c>
      <c r="BE96">
        <v>5546.6800961715617</v>
      </c>
      <c r="BF96">
        <v>9.6942814879955985E-2</v>
      </c>
      <c r="BH96">
        <v>5.2429859840935551</v>
      </c>
      <c r="BO96">
        <v>1115650</v>
      </c>
      <c r="BP96">
        <v>0</v>
      </c>
      <c r="BQ96">
        <v>5217.2582847500698</v>
      </c>
      <c r="BR96">
        <v>9.2875091851358615E-2</v>
      </c>
      <c r="BT96">
        <v>4.8786557027760065</v>
      </c>
      <c r="CA96">
        <v>1115650</v>
      </c>
      <c r="CB96">
        <v>0</v>
      </c>
      <c r="CC96">
        <v>5372.0831591451215</v>
      </c>
      <c r="CD96">
        <v>9.5825674874603042E-2</v>
      </c>
      <c r="CF96">
        <v>5.0494546710049235</v>
      </c>
      <c r="DB96">
        <v>1115650</v>
      </c>
      <c r="DC96">
        <v>5</v>
      </c>
      <c r="DD96">
        <v>0</v>
      </c>
      <c r="DE96">
        <v>0</v>
      </c>
      <c r="DF96">
        <v>0</v>
      </c>
      <c r="DG96">
        <v>218.75000000000017</v>
      </c>
      <c r="DH96">
        <v>0</v>
      </c>
      <c r="DI96">
        <v>0</v>
      </c>
      <c r="DJ96">
        <v>218.75000000000017</v>
      </c>
      <c r="DK96">
        <v>0</v>
      </c>
      <c r="DL96">
        <v>219.34931506849318</v>
      </c>
      <c r="DM96">
        <v>218.75000000000017</v>
      </c>
      <c r="DN96">
        <v>218.75000000000017</v>
      </c>
      <c r="DO96">
        <v>218.75000000000017</v>
      </c>
      <c r="DP96">
        <v>4594.3493150684926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</row>
    <row r="97" spans="7:126">
      <c r="G97">
        <v>1115651</v>
      </c>
      <c r="H97">
        <v>0</v>
      </c>
      <c r="I97">
        <v>739.59538584442953</v>
      </c>
      <c r="J97">
        <v>1.3124563207063272E-2</v>
      </c>
      <c r="L97">
        <v>4.4574909662511857</v>
      </c>
      <c r="S97">
        <v>1115651</v>
      </c>
      <c r="T97">
        <v>0</v>
      </c>
      <c r="U97">
        <v>679.58919315296055</v>
      </c>
      <c r="V97">
        <v>1.2514763330809727E-2</v>
      </c>
      <c r="X97">
        <v>4.0451930577647106</v>
      </c>
      <c r="AE97">
        <v>1115651</v>
      </c>
      <c r="AF97">
        <v>0</v>
      </c>
      <c r="AG97">
        <v>794.33711901616061</v>
      </c>
      <c r="AH97">
        <v>1.3732877822623018E-2</v>
      </c>
      <c r="AJ97">
        <v>4.8374917406544036</v>
      </c>
      <c r="AQ97">
        <v>1115651</v>
      </c>
      <c r="AR97">
        <v>0</v>
      </c>
      <c r="AS97">
        <v>711.98145051415986</v>
      </c>
      <c r="AT97">
        <v>1.2892609200966245E-2</v>
      </c>
      <c r="AV97">
        <v>4.2671811475425256</v>
      </c>
      <c r="BC97">
        <v>1115651</v>
      </c>
      <c r="BD97">
        <v>0</v>
      </c>
      <c r="BE97">
        <v>766.92378800910888</v>
      </c>
      <c r="BF97">
        <v>1.3404009158436607E-2</v>
      </c>
      <c r="BH97">
        <v>4.646755786317823</v>
      </c>
      <c r="BO97">
        <v>1115651</v>
      </c>
      <c r="BP97">
        <v>0</v>
      </c>
      <c r="BQ97">
        <v>726.736557165666</v>
      </c>
      <c r="BR97">
        <v>1.2937010363429747E-2</v>
      </c>
      <c r="BT97">
        <v>4.3687512934319921</v>
      </c>
      <c r="CA97">
        <v>1115651</v>
      </c>
      <c r="CB97">
        <v>0</v>
      </c>
      <c r="CC97">
        <v>737.6262407415677</v>
      </c>
      <c r="CD97">
        <v>1.3157564808718498E-2</v>
      </c>
      <c r="CF97">
        <v>4.4438884789457829</v>
      </c>
      <c r="DB97">
        <v>1115651</v>
      </c>
      <c r="DC97">
        <v>5</v>
      </c>
      <c r="DD97">
        <v>0</v>
      </c>
      <c r="DE97">
        <v>0</v>
      </c>
      <c r="DF97">
        <v>7.7054794520547976</v>
      </c>
      <c r="DG97">
        <v>7.8767123287672156</v>
      </c>
      <c r="DH97">
        <v>7.8767123287672156</v>
      </c>
      <c r="DI97">
        <v>7.7910958904109373</v>
      </c>
      <c r="DJ97">
        <v>15.582191780822011</v>
      </c>
      <c r="DK97">
        <v>15.667808219178152</v>
      </c>
      <c r="DL97">
        <v>31.335616438356304</v>
      </c>
      <c r="DM97">
        <v>31.250000000000163</v>
      </c>
      <c r="DN97">
        <v>31.250000000000163</v>
      </c>
      <c r="DO97">
        <v>640.58219178082197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</row>
    <row r="98" spans="7:126">
      <c r="G98">
        <v>1116020</v>
      </c>
      <c r="H98">
        <v>0</v>
      </c>
      <c r="I98">
        <v>432.7565669591483</v>
      </c>
      <c r="J98">
        <v>7.6795245414386058E-3</v>
      </c>
      <c r="L98">
        <v>0.18520384822520572</v>
      </c>
      <c r="S98">
        <v>1116020</v>
      </c>
      <c r="T98">
        <v>0</v>
      </c>
      <c r="U98">
        <v>433.28567651860862</v>
      </c>
      <c r="V98">
        <v>7.979037558120336E-3</v>
      </c>
      <c r="X98">
        <v>0.18254879815097957</v>
      </c>
      <c r="AE98">
        <v>1116020</v>
      </c>
      <c r="AF98">
        <v>0</v>
      </c>
      <c r="AG98">
        <v>432.79129027391554</v>
      </c>
      <c r="AH98">
        <v>7.4823016194791939E-3</v>
      </c>
      <c r="AJ98">
        <v>0.18724514576884946</v>
      </c>
      <c r="AQ98">
        <v>1116020</v>
      </c>
      <c r="AR98">
        <v>0</v>
      </c>
      <c r="AS98">
        <v>433.64346485071655</v>
      </c>
      <c r="AT98">
        <v>7.8524457636302437E-3</v>
      </c>
      <c r="AV98">
        <v>0.18356287916898018</v>
      </c>
      <c r="BC98">
        <v>1116020</v>
      </c>
      <c r="BD98">
        <v>0</v>
      </c>
      <c r="BE98">
        <v>432.74664540715531</v>
      </c>
      <c r="BF98">
        <v>7.5633851616183469E-3</v>
      </c>
      <c r="BH98">
        <v>0.18637831004338368</v>
      </c>
      <c r="BO98">
        <v>1116020</v>
      </c>
      <c r="BP98">
        <v>0</v>
      </c>
      <c r="BQ98">
        <v>432.67256609665731</v>
      </c>
      <c r="BR98">
        <v>7.7022263657615898E-3</v>
      </c>
      <c r="BT98">
        <v>0.18499597211252874</v>
      </c>
      <c r="CA98">
        <v>1116020</v>
      </c>
      <c r="CB98">
        <v>0</v>
      </c>
      <c r="CC98">
        <v>433.49739697784401</v>
      </c>
      <c r="CD98">
        <v>7.7326019332128217E-3</v>
      </c>
      <c r="CF98">
        <v>0.18464388600465903</v>
      </c>
      <c r="DB98">
        <v>1116020</v>
      </c>
      <c r="DC98">
        <v>2</v>
      </c>
      <c r="DD98">
        <v>0</v>
      </c>
      <c r="DE98">
        <v>0</v>
      </c>
      <c r="DF98">
        <v>483.73644320319403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</row>
    <row r="99" spans="7:126">
      <c r="G99">
        <v>1116021</v>
      </c>
      <c r="H99">
        <v>1.0838157745207688E-2</v>
      </c>
      <c r="I99">
        <v>60.326213717503769</v>
      </c>
      <c r="J99">
        <v>1.0705248033344649E-3</v>
      </c>
      <c r="L99">
        <v>1.9207178726026137E-2</v>
      </c>
      <c r="S99">
        <v>1116021</v>
      </c>
      <c r="T99">
        <v>0.11275596596437509</v>
      </c>
      <c r="U99">
        <v>60.406139908375529</v>
      </c>
      <c r="V99">
        <v>1.112390473977046E-3</v>
      </c>
      <c r="X99">
        <v>1.7503126047860543E-2</v>
      </c>
      <c r="AE99">
        <v>1116021</v>
      </c>
      <c r="AF99">
        <v>5.0958904109510428E-3</v>
      </c>
      <c r="AG99">
        <v>60.330021767650273</v>
      </c>
      <c r="AH99">
        <v>1.0430141033790372E-3</v>
      </c>
      <c r="AJ99">
        <v>2.0285441030733299E-2</v>
      </c>
      <c r="AQ99">
        <v>1116021</v>
      </c>
      <c r="AR99">
        <v>0.16350577218235074</v>
      </c>
      <c r="AS99">
        <v>60.45859611315813</v>
      </c>
      <c r="AT99">
        <v>1.0947884273713989E-3</v>
      </c>
      <c r="AV99">
        <v>1.8022396995125717E-2</v>
      </c>
      <c r="BC99">
        <v>1116021</v>
      </c>
      <c r="BD99">
        <v>5.0958904109510428E-3</v>
      </c>
      <c r="BE99">
        <v>60.327146734950517</v>
      </c>
      <c r="BF99">
        <v>1.0543754672635366E-3</v>
      </c>
      <c r="BH99">
        <v>1.9942133234556122E-2</v>
      </c>
      <c r="BO99">
        <v>1116021</v>
      </c>
      <c r="BP99">
        <v>5.0958904109510428E-3</v>
      </c>
      <c r="BQ99">
        <v>60.320903167571082</v>
      </c>
      <c r="BR99">
        <v>1.0738033496674869E-3</v>
      </c>
      <c r="BT99">
        <v>1.921539658171242E-2</v>
      </c>
      <c r="CA99">
        <v>1116021</v>
      </c>
      <c r="CB99">
        <v>0.13290951992742439</v>
      </c>
      <c r="CC99">
        <v>60.435985754954238</v>
      </c>
      <c r="CD99">
        <v>1.0780397380523758E-3</v>
      </c>
      <c r="CF99">
        <v>1.8684759990601738E-2</v>
      </c>
      <c r="DB99">
        <v>1116021</v>
      </c>
      <c r="DC99">
        <v>2</v>
      </c>
      <c r="DD99">
        <v>0</v>
      </c>
      <c r="DE99">
        <v>65.58252811287899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</row>
    <row r="100" spans="7:126">
      <c r="G100">
        <v>1117061</v>
      </c>
      <c r="H100">
        <v>0</v>
      </c>
      <c r="I100">
        <v>177.42130772577141</v>
      </c>
      <c r="J100">
        <v>3.1484473971779424E-3</v>
      </c>
      <c r="L100">
        <v>4.4837157182722134</v>
      </c>
      <c r="S100">
        <v>1117061</v>
      </c>
      <c r="T100">
        <v>0</v>
      </c>
      <c r="U100">
        <v>162.94192839257011</v>
      </c>
      <c r="V100">
        <v>3.0006063825676319E-3</v>
      </c>
      <c r="X100">
        <v>4.0708039367994768</v>
      </c>
      <c r="AE100">
        <v>1117061</v>
      </c>
      <c r="AF100">
        <v>0</v>
      </c>
      <c r="AG100">
        <v>190.63629132062124</v>
      </c>
      <c r="AH100">
        <v>3.2958108523325827E-3</v>
      </c>
      <c r="AJ100">
        <v>4.8644027139918879</v>
      </c>
      <c r="AQ100">
        <v>1117061</v>
      </c>
      <c r="AR100">
        <v>0</v>
      </c>
      <c r="AS100">
        <v>170.76281592960228</v>
      </c>
      <c r="AT100">
        <v>3.0921848458931311E-3</v>
      </c>
      <c r="AV100">
        <v>4.2932642180916378</v>
      </c>
      <c r="BC100">
        <v>1117061</v>
      </c>
      <c r="BD100">
        <v>0</v>
      </c>
      <c r="BE100">
        <v>184.01656205178878</v>
      </c>
      <c r="BF100">
        <v>3.2161731342944069E-3</v>
      </c>
      <c r="BH100">
        <v>4.6732705138589239</v>
      </c>
      <c r="BO100">
        <v>1117061</v>
      </c>
      <c r="BP100">
        <v>0</v>
      </c>
      <c r="BQ100">
        <v>174.31506287840224</v>
      </c>
      <c r="BR100">
        <v>3.1030718803453892E-3</v>
      </c>
      <c r="BT100">
        <v>4.3947507957767566</v>
      </c>
      <c r="CA100">
        <v>1117061</v>
      </c>
      <c r="CB100">
        <v>0</v>
      </c>
      <c r="CC100">
        <v>176.95165853753545</v>
      </c>
      <c r="CD100">
        <v>3.156412809930887E-3</v>
      </c>
      <c r="CF100">
        <v>4.4702516342793075</v>
      </c>
      <c r="DB100">
        <v>1117061</v>
      </c>
      <c r="DC100">
        <v>2</v>
      </c>
      <c r="DD100">
        <v>0</v>
      </c>
      <c r="DE100">
        <v>0</v>
      </c>
      <c r="DF100">
        <v>0</v>
      </c>
      <c r="DG100">
        <v>3.7397260273972499</v>
      </c>
      <c r="DH100">
        <v>0</v>
      </c>
      <c r="DI100">
        <v>3.7602739726027234</v>
      </c>
      <c r="DJ100">
        <v>3.7397260273972499</v>
      </c>
      <c r="DK100">
        <v>3.7602739726027234</v>
      </c>
      <c r="DL100">
        <v>7.5205479452054469</v>
      </c>
      <c r="DM100">
        <v>7.4999999999999734</v>
      </c>
      <c r="DN100">
        <v>7.4999999999999734</v>
      </c>
      <c r="DO100">
        <v>153.73972602739724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</row>
    <row r="101" spans="7:126">
      <c r="G101">
        <v>1120951</v>
      </c>
      <c r="H101">
        <v>1.8345205479452531</v>
      </c>
      <c r="I101">
        <v>504.63554375504617</v>
      </c>
      <c r="J101">
        <v>8.955060046760473E-3</v>
      </c>
      <c r="L101">
        <v>3.9040753949227458</v>
      </c>
      <c r="S101">
        <v>1120951</v>
      </c>
      <c r="T101">
        <v>1.8345205479452531</v>
      </c>
      <c r="U101">
        <v>468.32810274814938</v>
      </c>
      <c r="V101">
        <v>8.6243504548210847E-3</v>
      </c>
      <c r="X101">
        <v>3.5866662306502626</v>
      </c>
      <c r="AE101">
        <v>1120951</v>
      </c>
      <c r="AF101">
        <v>1.8345205479452531</v>
      </c>
      <c r="AG101">
        <v>532.83945205479552</v>
      </c>
      <c r="AH101">
        <v>9.2119818134711023E-3</v>
      </c>
      <c r="AJ101">
        <v>4.1524415329750557</v>
      </c>
      <c r="AQ101">
        <v>1120951</v>
      </c>
      <c r="AR101">
        <v>1.8345205479452531</v>
      </c>
      <c r="AS101">
        <v>485.1819960807386</v>
      </c>
      <c r="AT101">
        <v>8.7857090410100435E-3</v>
      </c>
      <c r="AV101">
        <v>3.7336701361550353</v>
      </c>
      <c r="BC101">
        <v>1120951</v>
      </c>
      <c r="BD101">
        <v>1.8345205479452531</v>
      </c>
      <c r="BE101">
        <v>521.50633191925385</v>
      </c>
      <c r="BF101">
        <v>9.1146940002666006E-3</v>
      </c>
      <c r="BH101">
        <v>4.052459959478889</v>
      </c>
      <c r="BO101">
        <v>1120951</v>
      </c>
      <c r="BP101">
        <v>1.8345205479452531</v>
      </c>
      <c r="BQ101">
        <v>500.16610832193612</v>
      </c>
      <c r="BR101">
        <v>8.9037135437816852E-3</v>
      </c>
      <c r="BT101">
        <v>3.8648578624466041</v>
      </c>
      <c r="CA101">
        <v>1120951</v>
      </c>
      <c r="CB101">
        <v>1.8345205479452531</v>
      </c>
      <c r="CC101">
        <v>500.0986375657979</v>
      </c>
      <c r="CD101">
        <v>8.9206157144146175E-3</v>
      </c>
      <c r="CF101">
        <v>3.8642661360107153</v>
      </c>
      <c r="DB101">
        <v>1120951</v>
      </c>
      <c r="DC101">
        <v>3</v>
      </c>
      <c r="DD101">
        <v>1.8345205479452531</v>
      </c>
      <c r="DE101">
        <v>0</v>
      </c>
      <c r="DF101">
        <v>5.326027397260372</v>
      </c>
      <c r="DG101">
        <v>5.3852054794520399</v>
      </c>
      <c r="DH101">
        <v>5.4443835616438996</v>
      </c>
      <c r="DI101">
        <v>3.6098630136986465</v>
      </c>
      <c r="DJ101">
        <v>12.545753424657665</v>
      </c>
      <c r="DK101">
        <v>9.0542465753425461</v>
      </c>
      <c r="DL101">
        <v>21.659178082191975</v>
      </c>
      <c r="DM101">
        <v>21.600000000000211</v>
      </c>
      <c r="DN101">
        <v>446.38027397260294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</row>
  </sheetData>
  <mergeCells count="7">
    <mergeCell ref="BU1:CF1"/>
    <mergeCell ref="A1:L1"/>
    <mergeCell ref="M1:X1"/>
    <mergeCell ref="Y1:AJ1"/>
    <mergeCell ref="AK1:AV1"/>
    <mergeCell ref="AW1:BH1"/>
    <mergeCell ref="BI1:BT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2AED6-041F-B546-A96C-4C19502BDACC}">
  <sheetPr codeName="Sheet8">
    <tabColor rgb="FF7030A0"/>
  </sheetPr>
  <dimension ref="A1:D23"/>
  <sheetViews>
    <sheetView workbookViewId="0">
      <selection activeCell="F21" sqref="F21"/>
    </sheetView>
  </sheetViews>
  <sheetFormatPr defaultColWidth="8.85546875" defaultRowHeight="15"/>
  <cols>
    <col min="1" max="1" width="10" style="27" bestFit="1" customWidth="1"/>
    <col min="2" max="2" width="15.85546875" style="27" customWidth="1"/>
    <col min="3" max="3" width="15.28515625" style="27" bestFit="1" customWidth="1"/>
    <col min="4" max="4" width="13.85546875" style="27" bestFit="1" customWidth="1"/>
    <col min="5" max="16384" width="8.85546875" style="27"/>
  </cols>
  <sheetData>
    <row r="1" spans="1:4">
      <c r="A1" s="27" t="s">
        <v>668</v>
      </c>
    </row>
    <row r="3" spans="1:4">
      <c r="A3" s="28" t="s">
        <v>1</v>
      </c>
      <c r="B3" s="29" t="s">
        <v>668</v>
      </c>
      <c r="C3" s="28" t="s">
        <v>3</v>
      </c>
      <c r="D3" s="99" t="s">
        <v>812</v>
      </c>
    </row>
    <row r="4" spans="1:4">
      <c r="A4" s="28" t="s">
        <v>5</v>
      </c>
      <c r="B4" s="29" t="s">
        <v>735</v>
      </c>
      <c r="C4" s="28" t="s">
        <v>6</v>
      </c>
      <c r="D4" s="29" t="s">
        <v>17</v>
      </c>
    </row>
    <row r="5" spans="1:4">
      <c r="A5" s="28" t="s">
        <v>7</v>
      </c>
      <c r="B5" s="29" t="s">
        <v>8</v>
      </c>
      <c r="C5" s="28" t="s">
        <v>9</v>
      </c>
      <c r="D5" s="64" t="s">
        <v>736</v>
      </c>
    </row>
    <row r="6" spans="1:4">
      <c r="A6" s="28" t="s">
        <v>661</v>
      </c>
      <c r="B6" s="30" t="s">
        <v>737</v>
      </c>
      <c r="C6" s="28"/>
      <c r="D6" s="29"/>
    </row>
    <row r="9" spans="1:4">
      <c r="A9" s="31" t="s">
        <v>11</v>
      </c>
      <c r="B9" s="29">
        <v>0</v>
      </c>
      <c r="C9" s="27" t="s">
        <v>832</v>
      </c>
    </row>
    <row r="10" spans="1:4">
      <c r="A10" s="29">
        <v>1</v>
      </c>
      <c r="B10" s="29">
        <v>4.742479E-3</v>
      </c>
      <c r="C10" s="27">
        <v>2.9742479000000002E-2</v>
      </c>
    </row>
    <row r="11" spans="1:4">
      <c r="A11" s="29">
        <v>7</v>
      </c>
      <c r="B11" s="29">
        <v>4.7400146999999997E-3</v>
      </c>
      <c r="C11" s="27">
        <v>2.9740014700000001E-2</v>
      </c>
    </row>
    <row r="12" spans="1:4">
      <c r="A12" s="29">
        <v>30</v>
      </c>
      <c r="B12" s="29">
        <v>4.8795827999999998E-3</v>
      </c>
      <c r="C12" s="27">
        <v>2.9879582800000002E-2</v>
      </c>
    </row>
    <row r="13" spans="1:4">
      <c r="A13" s="29">
        <v>60</v>
      </c>
      <c r="B13" s="29">
        <v>4.9975178999999998E-3</v>
      </c>
      <c r="C13" s="27">
        <v>2.9997517899999999E-2</v>
      </c>
    </row>
    <row r="14" spans="1:4">
      <c r="A14" s="29">
        <v>90</v>
      </c>
      <c r="B14" s="29">
        <v>5.1509946999999997E-3</v>
      </c>
      <c r="C14" s="27">
        <v>3.0150994700000003E-2</v>
      </c>
    </row>
    <row r="15" spans="1:4">
      <c r="A15" s="29">
        <v>180</v>
      </c>
      <c r="B15" s="29">
        <v>5.8502857999999996E-3</v>
      </c>
      <c r="C15" s="27">
        <v>3.0850285800000002E-2</v>
      </c>
    </row>
    <row r="16" spans="1:4">
      <c r="A16" s="29">
        <v>270</v>
      </c>
      <c r="B16" s="29">
        <v>7.2184444999999998E-3</v>
      </c>
      <c r="C16" s="27">
        <v>3.2218444499999999E-2</v>
      </c>
    </row>
    <row r="17" spans="1:3">
      <c r="A17" s="29">
        <v>360</v>
      </c>
      <c r="B17" s="29">
        <v>8.6155782999999993E-3</v>
      </c>
      <c r="C17" s="27">
        <v>3.3615578300000004E-2</v>
      </c>
    </row>
    <row r="18" spans="1:3">
      <c r="A18" s="29">
        <v>730</v>
      </c>
      <c r="B18" s="29">
        <v>8.4103114000000003E-3</v>
      </c>
      <c r="C18" s="27">
        <v>3.3410311400000003E-2</v>
      </c>
    </row>
    <row r="19" spans="1:3">
      <c r="A19" s="29">
        <v>1095</v>
      </c>
      <c r="B19" s="29">
        <v>1.13554824E-2</v>
      </c>
      <c r="C19" s="27">
        <v>3.63554824E-2</v>
      </c>
    </row>
    <row r="20" spans="1:3">
      <c r="A20" s="29">
        <v>1825</v>
      </c>
      <c r="B20" s="29">
        <v>1.7660728600000002E-2</v>
      </c>
      <c r="C20" s="27">
        <v>4.2660728600000003E-2</v>
      </c>
    </row>
    <row r="21" spans="1:3">
      <c r="A21" s="29">
        <v>3650</v>
      </c>
      <c r="B21" s="29">
        <v>2.8147917599999999E-2</v>
      </c>
      <c r="C21" s="27">
        <v>5.3147917599999997E-2</v>
      </c>
    </row>
    <row r="22" spans="1:3">
      <c r="A22" s="29">
        <v>5475</v>
      </c>
      <c r="B22" s="29">
        <v>3.26849024E-2</v>
      </c>
      <c r="C22" s="27">
        <v>5.7684902400000002E-2</v>
      </c>
    </row>
    <row r="23" spans="1:3">
      <c r="A23" s="29">
        <v>7300</v>
      </c>
      <c r="B23" s="29">
        <v>3.4563895800000001E-2</v>
      </c>
      <c r="C23" s="27">
        <v>5.9563895800000002E-2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3" r:id="rId3" name="Button 3">
              <controlPr defaultSize="0" print="0" autoFill="0" autoPict="0" macro="[0]!testscencurve">
                <anchor moveWithCells="1" sizeWithCells="1">
                  <from>
                    <xdr:col>3</xdr:col>
                    <xdr:colOff>781050</xdr:colOff>
                    <xdr:row>12</xdr:row>
                    <xdr:rowOff>57150</xdr:rowOff>
                  </from>
                  <to>
                    <xdr:col>6</xdr:col>
                    <xdr:colOff>590550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A25ACD-830C-45F2-AB48-A90DEC3D558F}">
          <x14:formula1>
            <xm:f>Data!$C$2:$C$7</xm:f>
          </x14:formula1>
          <xm:sqref>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32FB-9333-6244-B672-9DECF98ABE91}">
  <sheetPr codeName="Sheet9">
    <tabColor rgb="FF7030A0"/>
  </sheetPr>
  <dimension ref="A1:D23"/>
  <sheetViews>
    <sheetView workbookViewId="0">
      <selection activeCell="G18" sqref="G18"/>
    </sheetView>
  </sheetViews>
  <sheetFormatPr defaultColWidth="8.85546875" defaultRowHeight="15"/>
  <cols>
    <col min="1" max="1" width="11.28515625" style="27" customWidth="1"/>
    <col min="2" max="2" width="14.42578125" style="27" customWidth="1"/>
    <col min="3" max="3" width="22" style="27" customWidth="1"/>
    <col min="4" max="4" width="16.140625" style="27" customWidth="1"/>
    <col min="5" max="16384" width="8.85546875" style="27"/>
  </cols>
  <sheetData>
    <row r="1" spans="1:4">
      <c r="A1" s="27" t="s">
        <v>660</v>
      </c>
    </row>
    <row r="3" spans="1:4">
      <c r="A3" s="28" t="s">
        <v>1</v>
      </c>
      <c r="B3" s="29" t="s">
        <v>660</v>
      </c>
      <c r="C3" s="28" t="s">
        <v>3</v>
      </c>
      <c r="D3" s="29" t="s">
        <v>4</v>
      </c>
    </row>
    <row r="4" spans="1:4">
      <c r="A4" s="28" t="s">
        <v>5</v>
      </c>
      <c r="B4" s="29" t="s">
        <v>738</v>
      </c>
      <c r="C4" s="28" t="s">
        <v>6</v>
      </c>
      <c r="D4" s="29" t="s">
        <v>17</v>
      </c>
    </row>
    <row r="5" spans="1:4">
      <c r="A5" s="28" t="s">
        <v>7</v>
      </c>
      <c r="B5" s="29" t="s">
        <v>8</v>
      </c>
      <c r="C5" s="28" t="s">
        <v>9</v>
      </c>
      <c r="D5" s="64" t="s">
        <v>736</v>
      </c>
    </row>
    <row r="6" spans="1:4">
      <c r="A6" s="28" t="s">
        <v>661</v>
      </c>
      <c r="B6" s="30" t="s">
        <v>737</v>
      </c>
      <c r="C6" s="28"/>
      <c r="D6" s="29"/>
    </row>
    <row r="9" spans="1:4">
      <c r="A9" s="31" t="s">
        <v>11</v>
      </c>
      <c r="B9" s="29">
        <v>0</v>
      </c>
      <c r="C9" s="27" t="s">
        <v>833</v>
      </c>
    </row>
    <row r="10" spans="1:4">
      <c r="A10" s="29">
        <v>1</v>
      </c>
      <c r="B10" s="29">
        <v>1.5011219999999999E-3</v>
      </c>
      <c r="C10" s="27">
        <v>0</v>
      </c>
    </row>
    <row r="11" spans="1:4">
      <c r="A11" s="29">
        <v>7</v>
      </c>
      <c r="B11" s="29">
        <v>1.2289060000000001E-3</v>
      </c>
      <c r="C11" s="27">
        <v>0</v>
      </c>
    </row>
    <row r="12" spans="1:4">
      <c r="A12" s="29">
        <v>30</v>
      </c>
      <c r="B12" s="29">
        <v>1.2608261000000001E-3</v>
      </c>
      <c r="C12" s="27">
        <v>0</v>
      </c>
    </row>
    <row r="13" spans="1:4">
      <c r="A13" s="29">
        <v>60</v>
      </c>
      <c r="B13" s="29">
        <v>1.6743226E-3</v>
      </c>
      <c r="C13" s="27">
        <v>0</v>
      </c>
    </row>
    <row r="14" spans="1:4">
      <c r="A14" s="29">
        <v>90</v>
      </c>
      <c r="B14" s="29">
        <v>2.1719952E-3</v>
      </c>
      <c r="C14" s="27">
        <v>0</v>
      </c>
    </row>
    <row r="15" spans="1:4">
      <c r="A15" s="29">
        <v>180</v>
      </c>
      <c r="B15" s="29">
        <v>3.3253614999999999E-3</v>
      </c>
      <c r="C15" s="27">
        <v>0</v>
      </c>
    </row>
    <row r="16" spans="1:4">
      <c r="A16" s="29">
        <v>270</v>
      </c>
      <c r="B16" s="29">
        <v>4.3986199999999998E-3</v>
      </c>
      <c r="C16" s="27">
        <v>0</v>
      </c>
    </row>
    <row r="17" spans="1:3">
      <c r="A17" s="29">
        <v>360</v>
      </c>
      <c r="B17" s="29">
        <v>5.2973157999999998E-3</v>
      </c>
      <c r="C17" s="27">
        <v>0</v>
      </c>
    </row>
    <row r="18" spans="1:3">
      <c r="A18" s="29">
        <v>730</v>
      </c>
      <c r="B18" s="29">
        <v>5.5316827999999998E-3</v>
      </c>
      <c r="C18" s="27">
        <v>0</v>
      </c>
    </row>
    <row r="19" spans="1:3">
      <c r="A19" s="29">
        <v>1095</v>
      </c>
      <c r="B19" s="29">
        <v>7.5014058999999999E-3</v>
      </c>
      <c r="C19" s="27">
        <v>0</v>
      </c>
    </row>
    <row r="20" spans="1:3">
      <c r="A20" s="29">
        <v>1825</v>
      </c>
      <c r="B20" s="29">
        <v>1.23519913E-2</v>
      </c>
      <c r="C20" s="27">
        <v>0</v>
      </c>
    </row>
    <row r="21" spans="1:3">
      <c r="A21" s="29">
        <v>3650</v>
      </c>
      <c r="B21" s="29">
        <v>2.1150782900000002E-2</v>
      </c>
      <c r="C21" s="27">
        <v>1.1507829000000011E-3</v>
      </c>
    </row>
    <row r="22" spans="1:3">
      <c r="A22" s="29">
        <v>5475</v>
      </c>
      <c r="B22" s="29">
        <v>2.5703743099999999E-2</v>
      </c>
      <c r="C22" s="27">
        <v>5.7037430999999986E-3</v>
      </c>
    </row>
    <row r="23" spans="1:3">
      <c r="A23" s="29">
        <v>7300</v>
      </c>
      <c r="B23" s="29">
        <v>2.6995468700000001E-2</v>
      </c>
      <c r="C23" s="27">
        <v>6.9954687000000002E-3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6147" r:id="rId3" name="Button 3">
              <controlPr defaultSize="0" print="0" autoFill="0" autoPict="0" macro="[0]!testscencurve">
                <anchor moveWithCells="1" sizeWithCells="1">
                  <from>
                    <xdr:col>3</xdr:col>
                    <xdr:colOff>847725</xdr:colOff>
                    <xdr:row>11</xdr:row>
                    <xdr:rowOff>38100</xdr:rowOff>
                  </from>
                  <to>
                    <xdr:col>7</xdr:col>
                    <xdr:colOff>361950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E3B09D-754F-48D5-822C-7CDD4664A0F7}">
          <x14:formula1>
            <xm:f>Data!$C$2:$C$7</xm:f>
          </x14:formula1>
          <xm:sqref>C9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41BD0-E11B-824E-A297-3DED998C140E}">
  <sheetPr codeName="Sheet10">
    <tabColor rgb="FF7030A0"/>
  </sheetPr>
  <dimension ref="A1:D23"/>
  <sheetViews>
    <sheetView topLeftCell="A4" workbookViewId="0">
      <selection activeCell="F22" sqref="F22"/>
    </sheetView>
  </sheetViews>
  <sheetFormatPr defaultColWidth="8.85546875" defaultRowHeight="15"/>
  <cols>
    <col min="1" max="1" width="15.7109375" style="27" customWidth="1"/>
    <col min="2" max="2" width="14.28515625" style="27" customWidth="1"/>
    <col min="3" max="3" width="16.7109375" style="27" customWidth="1"/>
    <col min="4" max="4" width="32.7109375" style="27" customWidth="1"/>
    <col min="5" max="16384" width="8.85546875" style="27"/>
  </cols>
  <sheetData>
    <row r="1" spans="1:4">
      <c r="A1" s="27" t="s">
        <v>15</v>
      </c>
    </row>
    <row r="3" spans="1:4">
      <c r="A3" s="28" t="s">
        <v>1</v>
      </c>
      <c r="B3" s="29" t="s">
        <v>15</v>
      </c>
      <c r="C3" s="28" t="s">
        <v>3</v>
      </c>
      <c r="D3" s="29" t="s">
        <v>4</v>
      </c>
    </row>
    <row r="4" spans="1:4">
      <c r="A4" s="28" t="s">
        <v>5</v>
      </c>
      <c r="B4" s="29" t="s">
        <v>739</v>
      </c>
      <c r="C4" s="28" t="s">
        <v>6</v>
      </c>
      <c r="D4" s="29" t="s">
        <v>17</v>
      </c>
    </row>
    <row r="5" spans="1:4">
      <c r="A5" s="28" t="s">
        <v>7</v>
      </c>
      <c r="B5" s="29" t="s">
        <v>8</v>
      </c>
      <c r="C5" s="28" t="s">
        <v>9</v>
      </c>
      <c r="D5" s="64" t="s">
        <v>736</v>
      </c>
    </row>
    <row r="6" spans="1:4">
      <c r="A6" s="28" t="s">
        <v>18</v>
      </c>
      <c r="B6" s="30" t="s">
        <v>737</v>
      </c>
      <c r="C6" s="28"/>
      <c r="D6" s="29"/>
    </row>
    <row r="9" spans="1:4">
      <c r="A9" s="31" t="s">
        <v>11</v>
      </c>
      <c r="B9" s="29">
        <v>0</v>
      </c>
      <c r="C9" s="27" t="s">
        <v>834</v>
      </c>
    </row>
    <row r="10" spans="1:4">
      <c r="A10" s="29">
        <v>1</v>
      </c>
      <c r="B10" s="29">
        <v>1.052552E-3</v>
      </c>
      <c r="C10" s="27">
        <v>3.1032011090155721E-2</v>
      </c>
    </row>
    <row r="11" spans="1:4">
      <c r="A11" s="29">
        <v>7</v>
      </c>
      <c r="B11" s="29">
        <v>1.4982966999999999E-3</v>
      </c>
      <c r="C11" s="27">
        <v>3.1354805344562343E-2</v>
      </c>
    </row>
    <row r="12" spans="1:4">
      <c r="A12" s="29">
        <v>30</v>
      </c>
      <c r="B12" s="29">
        <v>1.7205668E-3</v>
      </c>
      <c r="C12" s="27">
        <v>3.1110418557973595E-2</v>
      </c>
    </row>
    <row r="13" spans="1:4">
      <c r="A13" s="29">
        <v>60</v>
      </c>
      <c r="B13" s="29">
        <v>2.1119872000000001E-3</v>
      </c>
      <c r="C13" s="27">
        <v>3.0904100078522123E-2</v>
      </c>
    </row>
    <row r="14" spans="1:4">
      <c r="A14" s="29">
        <v>90</v>
      </c>
      <c r="B14" s="29">
        <v>2.4319329999999998E-3</v>
      </c>
      <c r="C14" s="27">
        <v>3.0638463976620251E-2</v>
      </c>
    </row>
    <row r="15" spans="1:4">
      <c r="A15" s="29">
        <v>180</v>
      </c>
      <c r="B15" s="29">
        <v>3.6133916999999999E-3</v>
      </c>
      <c r="C15" s="27">
        <v>3.0133671357834589E-2</v>
      </c>
    </row>
    <row r="16" spans="1:4">
      <c r="A16" s="29">
        <v>270</v>
      </c>
      <c r="B16" s="29">
        <v>4.8901403E-3</v>
      </c>
      <c r="C16" s="27">
        <v>2.982497662257811E-2</v>
      </c>
    </row>
    <row r="17" spans="1:3">
      <c r="A17" s="29">
        <v>360</v>
      </c>
      <c r="B17" s="29">
        <v>6.1691245000000004E-3</v>
      </c>
      <c r="C17" s="27">
        <v>2.9613298937658506E-2</v>
      </c>
    </row>
    <row r="18" spans="1:3">
      <c r="A18" s="29">
        <v>730</v>
      </c>
      <c r="B18" s="29">
        <v>4.6716253000000001E-3</v>
      </c>
      <c r="C18" s="27">
        <v>2.2867545091379001E-2</v>
      </c>
    </row>
    <row r="19" spans="1:3">
      <c r="A19" s="29">
        <v>1095</v>
      </c>
      <c r="B19" s="29">
        <v>7.7745629000000004E-3</v>
      </c>
      <c r="C19" s="27">
        <v>2.194555948223044E-2</v>
      </c>
    </row>
    <row r="20" spans="1:3">
      <c r="A20" s="29">
        <v>1825</v>
      </c>
      <c r="B20" s="29">
        <v>1.5726555900000001E-2</v>
      </c>
      <c r="C20" s="27">
        <v>2.4321699805805702E-2</v>
      </c>
    </row>
    <row r="21" spans="1:3">
      <c r="A21" s="29">
        <v>3650</v>
      </c>
      <c r="B21" s="29">
        <v>2.8907214000000001E-2</v>
      </c>
      <c r="C21" s="27">
        <v>3.1369763958716962E-2</v>
      </c>
    </row>
    <row r="22" spans="1:3">
      <c r="A22" s="29">
        <v>5475</v>
      </c>
      <c r="B22" s="29">
        <v>3.4888199199999997E-2</v>
      </c>
      <c r="C22" s="27">
        <v>3.5593731575680271E-2</v>
      </c>
    </row>
    <row r="23" spans="1:3">
      <c r="A23" s="29">
        <v>7300</v>
      </c>
      <c r="B23" s="29">
        <v>3.7368486499999999E-2</v>
      </c>
      <c r="C23" s="27">
        <v>3.7570624909972566E-2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7171" r:id="rId3" name="Button 3">
              <controlPr defaultSize="0" print="0" autoFill="0" autoPict="0" macro="[0]!testscencurve">
                <anchor moveWithCells="1" sizeWithCells="1">
                  <from>
                    <xdr:col>3</xdr:col>
                    <xdr:colOff>1390650</xdr:colOff>
                    <xdr:row>13</xdr:row>
                    <xdr:rowOff>95250</xdr:rowOff>
                  </from>
                  <to>
                    <xdr:col>6</xdr:col>
                    <xdr:colOff>19050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F9A614-24A0-493F-B67D-C635422C0EEF}">
          <x14:formula1>
            <xm:f>Data!$C$2:$C$7</xm:f>
          </x14:formula1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C68C3-B2F1-614B-9410-972EC68FFF88}">
  <sheetPr codeName="Sheet12">
    <tabColor rgb="FF7030A0"/>
  </sheetPr>
  <dimension ref="A1:D23"/>
  <sheetViews>
    <sheetView workbookViewId="0">
      <selection activeCell="C9" sqref="C9"/>
    </sheetView>
  </sheetViews>
  <sheetFormatPr defaultColWidth="8.85546875" defaultRowHeight="15"/>
  <cols>
    <col min="1" max="1" width="13.42578125" style="27" customWidth="1"/>
    <col min="2" max="2" width="14.7109375" style="27" customWidth="1"/>
    <col min="3" max="3" width="17.28515625" style="27" customWidth="1"/>
    <col min="4" max="4" width="33.140625" style="27" customWidth="1"/>
    <col min="5" max="16384" width="8.85546875" style="27"/>
  </cols>
  <sheetData>
    <row r="1" spans="1:4">
      <c r="A1" s="27" t="s">
        <v>2</v>
      </c>
    </row>
    <row r="3" spans="1:4">
      <c r="A3" s="28" t="s">
        <v>1</v>
      </c>
      <c r="B3" s="29" t="s">
        <v>2</v>
      </c>
      <c r="C3" s="28" t="s">
        <v>3</v>
      </c>
      <c r="D3" s="29" t="s">
        <v>4</v>
      </c>
    </row>
    <row r="4" spans="1:4">
      <c r="A4" s="28" t="s">
        <v>5</v>
      </c>
      <c r="B4" s="29" t="s">
        <v>740</v>
      </c>
      <c r="C4" s="28" t="s">
        <v>6</v>
      </c>
      <c r="D4" s="29" t="s">
        <v>17</v>
      </c>
    </row>
    <row r="5" spans="1:4">
      <c r="A5" s="28" t="s">
        <v>7</v>
      </c>
      <c r="B5" s="29" t="s">
        <v>8</v>
      </c>
      <c r="C5" s="28" t="s">
        <v>9</v>
      </c>
      <c r="D5" s="64" t="s">
        <v>736</v>
      </c>
    </row>
    <row r="6" spans="1:4">
      <c r="A6" s="28" t="s">
        <v>10</v>
      </c>
      <c r="B6" s="32" t="s">
        <v>779</v>
      </c>
      <c r="C6" s="28"/>
      <c r="D6" s="29"/>
    </row>
    <row r="9" spans="1:4">
      <c r="A9" s="31" t="s">
        <v>11</v>
      </c>
      <c r="B9" s="29">
        <v>0</v>
      </c>
      <c r="C9" s="27" t="s">
        <v>837</v>
      </c>
    </row>
    <row r="10" spans="1:4">
      <c r="A10" s="29">
        <v>1</v>
      </c>
      <c r="B10" s="29">
        <v>9.5956210000000004E-3</v>
      </c>
      <c r="C10" s="27">
        <v>3.3573025999171294E-2</v>
      </c>
    </row>
    <row r="11" spans="1:4">
      <c r="A11" s="29">
        <v>7</v>
      </c>
      <c r="B11" s="29">
        <v>9.8327329999999998E-3</v>
      </c>
      <c r="C11" s="27">
        <v>3.3674892509018582E-2</v>
      </c>
    </row>
    <row r="12" spans="1:4">
      <c r="A12" s="29">
        <v>30</v>
      </c>
      <c r="B12" s="29">
        <v>1.02403244E-2</v>
      </c>
      <c r="C12" s="27">
        <v>3.3569161333770955E-2</v>
      </c>
    </row>
    <row r="13" spans="1:4">
      <c r="A13" s="29">
        <v>60</v>
      </c>
      <c r="B13" s="29">
        <v>1.08200165E-2</v>
      </c>
      <c r="C13" s="27">
        <v>3.3491340666374332E-2</v>
      </c>
    </row>
    <row r="14" spans="1:4">
      <c r="A14" s="29">
        <v>90</v>
      </c>
      <c r="B14" s="29">
        <v>1.1488112199999999E-2</v>
      </c>
      <c r="C14" s="27">
        <v>3.3515296274282277E-2</v>
      </c>
    </row>
    <row r="15" spans="1:4">
      <c r="A15" s="29">
        <v>180</v>
      </c>
      <c r="B15" s="29">
        <v>1.27114802E-2</v>
      </c>
      <c r="C15" s="27">
        <v>3.2883787823618046E-2</v>
      </c>
    </row>
    <row r="16" spans="1:4">
      <c r="A16" s="29">
        <v>270</v>
      </c>
      <c r="B16" s="29">
        <v>1.3892553300000001E-2</v>
      </c>
      <c r="C16" s="27">
        <v>3.2320873254835923E-2</v>
      </c>
    </row>
    <row r="17" spans="1:3">
      <c r="A17" s="29">
        <v>360</v>
      </c>
      <c r="B17" s="29">
        <v>1.4954030700000001E-2</v>
      </c>
      <c r="C17" s="27">
        <v>3.1742622581424358E-2</v>
      </c>
    </row>
    <row r="18" spans="1:3">
      <c r="A18" s="29">
        <v>730</v>
      </c>
      <c r="B18" s="29">
        <v>1.48051087E-2</v>
      </c>
      <c r="C18" s="27">
        <v>2.5820620470516906E-2</v>
      </c>
    </row>
    <row r="19" spans="1:3">
      <c r="A19" s="29">
        <v>1095</v>
      </c>
      <c r="B19" s="29">
        <v>1.74588164E-2</v>
      </c>
      <c r="C19" s="27">
        <v>2.4046912640453486E-2</v>
      </c>
    </row>
    <row r="20" spans="1:3">
      <c r="A20" s="29">
        <v>1825</v>
      </c>
      <c r="B20" s="29">
        <v>2.2742852800000001E-2</v>
      </c>
      <c r="C20" s="27">
        <v>2.3197511096386274E-2</v>
      </c>
    </row>
    <row r="21" spans="1:3">
      <c r="A21" s="29">
        <v>3650</v>
      </c>
      <c r="B21" s="29">
        <v>3.1559511599999999E-2</v>
      </c>
      <c r="C21" s="27">
        <v>2.5268316554588659E-2</v>
      </c>
    </row>
    <row r="22" spans="1:3">
      <c r="A22" s="29">
        <v>5475</v>
      </c>
      <c r="B22" s="29">
        <v>3.6807841100000002E-2</v>
      </c>
      <c r="C22" s="27">
        <v>2.8583926713248303E-2</v>
      </c>
    </row>
    <row r="23" spans="1:3">
      <c r="A23" s="29">
        <v>7300</v>
      </c>
      <c r="B23" s="29">
        <v>3.8295457800000002E-2</v>
      </c>
      <c r="C23" s="27">
        <v>2.9517810050969824E-2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8195" r:id="rId3" name="Button 3">
              <controlPr defaultSize="0" print="0" autoFill="0" autoPict="0" macro="[0]!testscencurve">
                <anchor moveWithCells="1" sizeWithCells="1">
                  <from>
                    <xdr:col>3</xdr:col>
                    <xdr:colOff>1762125</xdr:colOff>
                    <xdr:row>14</xdr:row>
                    <xdr:rowOff>0</xdr:rowOff>
                  </from>
                  <to>
                    <xdr:col>6</xdr:col>
                    <xdr:colOff>304800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1309F5-D7E0-4AD3-9EA4-0A195E09AC23}">
          <x14:formula1>
            <xm:f>Data!$C$2:$C$7</xm:f>
          </x14:formula1>
          <xm:sqref>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BBBF5-16D4-BA47-ABD7-62ABA9E133CF}">
  <sheetPr codeName="Sheet54">
    <tabColor rgb="FF7030A0"/>
  </sheetPr>
  <dimension ref="A1:H27"/>
  <sheetViews>
    <sheetView topLeftCell="A4" workbookViewId="0">
      <selection activeCell="F28" sqref="F28"/>
    </sheetView>
  </sheetViews>
  <sheetFormatPr defaultColWidth="9.140625" defaultRowHeight="12.75"/>
  <cols>
    <col min="1" max="1" width="10.85546875" style="35" bestFit="1" customWidth="1"/>
    <col min="2" max="2" width="12.85546875" style="35" bestFit="1" customWidth="1"/>
    <col min="3" max="3" width="15" style="35" bestFit="1" customWidth="1"/>
    <col min="4" max="4" width="13" style="35" customWidth="1"/>
    <col min="5" max="5" width="16.28515625" style="35" customWidth="1"/>
    <col min="6" max="6" width="17.140625" style="35" customWidth="1"/>
    <col min="7" max="7" width="23.42578125" style="35" customWidth="1"/>
    <col min="8" max="8" width="23.85546875" style="35" customWidth="1"/>
    <col min="9" max="16384" width="9.140625" style="35"/>
  </cols>
  <sheetData>
    <row r="1" spans="1:8" ht="12.95" customHeight="1">
      <c r="A1" s="33" t="s">
        <v>672</v>
      </c>
      <c r="B1" s="34"/>
      <c r="C1" s="34"/>
      <c r="D1" s="34"/>
    </row>
    <row r="2" spans="1:8" ht="14.1" customHeight="1" thickBot="1">
      <c r="A2" s="36"/>
      <c r="B2" s="36"/>
      <c r="C2" s="36"/>
      <c r="D2" s="36"/>
    </row>
    <row r="3" spans="1:8">
      <c r="A3" s="37" t="s">
        <v>1</v>
      </c>
      <c r="B3" s="38" t="s">
        <v>672</v>
      </c>
      <c r="C3" s="38" t="s">
        <v>3</v>
      </c>
      <c r="D3" s="39" t="s">
        <v>4</v>
      </c>
    </row>
    <row r="4" spans="1:8">
      <c r="A4" s="40" t="s">
        <v>5</v>
      </c>
      <c r="B4" s="41" t="s">
        <v>701</v>
      </c>
      <c r="C4" s="41" t="s">
        <v>6</v>
      </c>
      <c r="D4" s="42" t="s">
        <v>17</v>
      </c>
    </row>
    <row r="5" spans="1:8" ht="13.5" thickBot="1">
      <c r="A5" s="40" t="s">
        <v>7</v>
      </c>
      <c r="B5" s="41" t="s">
        <v>8</v>
      </c>
      <c r="C5" s="43" t="s">
        <v>9</v>
      </c>
      <c r="D5" s="16"/>
    </row>
    <row r="6" spans="1:8" ht="15.75" thickBot="1">
      <c r="A6" s="44" t="s">
        <v>661</v>
      </c>
      <c r="B6" s="30" t="s">
        <v>737</v>
      </c>
      <c r="C6" s="43"/>
      <c r="D6" s="45"/>
    </row>
    <row r="8" spans="1:8" ht="13.5" thickBot="1"/>
    <row r="9" spans="1:8">
      <c r="A9" s="46" t="s">
        <v>11</v>
      </c>
      <c r="B9" s="47" t="s">
        <v>741</v>
      </c>
      <c r="C9" s="33" t="s">
        <v>833</v>
      </c>
      <c r="D9" s="33"/>
      <c r="E9" s="33"/>
      <c r="F9" s="33"/>
      <c r="G9" s="33"/>
      <c r="H9" s="33"/>
    </row>
    <row r="10" spans="1:8">
      <c r="A10" s="41">
        <v>1</v>
      </c>
      <c r="B10" s="35">
        <v>1.17E-3</v>
      </c>
      <c r="C10" s="35">
        <v>0</v>
      </c>
    </row>
    <row r="11" spans="1:8">
      <c r="A11" s="41">
        <v>7</v>
      </c>
      <c r="B11" s="35">
        <v>1.17E-3</v>
      </c>
      <c r="C11" s="48">
        <v>0</v>
      </c>
    </row>
    <row r="12" spans="1:8">
      <c r="A12" s="41">
        <v>30</v>
      </c>
      <c r="B12" s="35">
        <v>1.39E-3</v>
      </c>
      <c r="C12" s="48">
        <v>0</v>
      </c>
    </row>
    <row r="13" spans="1:8">
      <c r="A13" s="41">
        <v>91</v>
      </c>
      <c r="B13" s="35">
        <v>1.24E-3</v>
      </c>
      <c r="C13" s="48">
        <v>0</v>
      </c>
    </row>
    <row r="14" spans="1:8">
      <c r="A14" s="41">
        <v>182</v>
      </c>
      <c r="B14" s="35">
        <v>1.23E-3</v>
      </c>
      <c r="C14" s="48">
        <v>0</v>
      </c>
    </row>
    <row r="15" spans="1:8">
      <c r="A15" s="41">
        <v>365</v>
      </c>
      <c r="B15" s="35">
        <v>1.2800000000000001E-3</v>
      </c>
      <c r="C15" s="48">
        <v>0</v>
      </c>
    </row>
    <row r="16" spans="1:8">
      <c r="A16" s="41">
        <v>730</v>
      </c>
      <c r="B16" s="35">
        <v>1.4400000000000001E-3</v>
      </c>
      <c r="C16" s="48">
        <v>0</v>
      </c>
    </row>
    <row r="17" spans="1:3">
      <c r="A17" s="41">
        <v>1095</v>
      </c>
      <c r="B17" s="35">
        <v>1.7099999999999999E-3</v>
      </c>
      <c r="C17" s="48">
        <v>0</v>
      </c>
    </row>
    <row r="18" spans="1:3">
      <c r="A18" s="41">
        <v>1460</v>
      </c>
      <c r="B18" s="35">
        <v>2.1700000000000001E-3</v>
      </c>
      <c r="C18" s="48">
        <v>0</v>
      </c>
    </row>
    <row r="19" spans="1:3">
      <c r="A19" s="41">
        <v>1825</v>
      </c>
      <c r="B19" s="35">
        <v>2.7699999999999999E-3</v>
      </c>
      <c r="C19" s="48">
        <v>0</v>
      </c>
    </row>
    <row r="20" spans="1:3">
      <c r="A20" s="49">
        <v>2190</v>
      </c>
      <c r="B20" s="35">
        <v>3.46E-3</v>
      </c>
      <c r="C20" s="48">
        <v>0</v>
      </c>
    </row>
    <row r="21" spans="1:3">
      <c r="A21" s="49">
        <v>2555</v>
      </c>
      <c r="B21" s="35">
        <v>4.5399999999999998E-3</v>
      </c>
      <c r="C21" s="48">
        <v>0</v>
      </c>
    </row>
    <row r="22" spans="1:3">
      <c r="A22" s="49">
        <v>2920</v>
      </c>
      <c r="B22" s="35">
        <v>5.9500000000000004E-3</v>
      </c>
      <c r="C22" s="48">
        <v>0</v>
      </c>
    </row>
    <row r="23" spans="1:3">
      <c r="A23" s="41">
        <v>3285</v>
      </c>
      <c r="B23" s="35">
        <v>7.8200000000000006E-3</v>
      </c>
      <c r="C23" s="35">
        <v>0</v>
      </c>
    </row>
    <row r="24" spans="1:3">
      <c r="A24" s="41">
        <v>3650</v>
      </c>
      <c r="B24" s="35">
        <v>9.6100000000000005E-3</v>
      </c>
      <c r="C24" s="35">
        <v>0</v>
      </c>
    </row>
    <row r="25" spans="1:3">
      <c r="A25" s="41">
        <v>5475</v>
      </c>
      <c r="B25" s="35">
        <v>1.422E-2</v>
      </c>
      <c r="C25" s="35">
        <v>4.2199999999999998E-3</v>
      </c>
    </row>
    <row r="26" spans="1:3">
      <c r="A26" s="41">
        <v>7300</v>
      </c>
      <c r="B26" s="35">
        <v>1.7649999999999999E-2</v>
      </c>
      <c r="C26" s="35">
        <v>7.6499999999999988E-3</v>
      </c>
    </row>
    <row r="27" spans="1:3">
      <c r="A27" s="41">
        <v>10950</v>
      </c>
      <c r="B27" s="35">
        <v>1.899E-2</v>
      </c>
      <c r="C27" s="35">
        <v>8.9899999999999997E-3</v>
      </c>
    </row>
  </sheetData>
  <phoneticPr fontId="5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6692" r:id="rId4" name="Button 4">
              <controlPr defaultSize="0" print="0" autoFill="0" autoPict="0" macro="[0]!testscencurve">
                <anchor moveWithCells="1" sizeWithCells="1">
                  <from>
                    <xdr:col>4</xdr:col>
                    <xdr:colOff>209550</xdr:colOff>
                    <xdr:row>13</xdr:row>
                    <xdr:rowOff>47625</xdr:rowOff>
                  </from>
                  <to>
                    <xdr:col>6</xdr:col>
                    <xdr:colOff>95250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6650BD-14E7-4741-8B71-D6A795D579D7}">
          <x14:formula1>
            <xm:f>Data!$C$2:$C$7</xm:f>
          </x14:formula1>
          <xm:sqref>C9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0853C-F002-104C-84E4-9104276711D4}">
  <sheetPr codeName="Sheet56">
    <tabColor rgb="FF7030A0"/>
  </sheetPr>
  <dimension ref="A1:H27"/>
  <sheetViews>
    <sheetView workbookViewId="0">
      <selection activeCell="F22" sqref="F22"/>
    </sheetView>
  </sheetViews>
  <sheetFormatPr defaultColWidth="9.140625" defaultRowHeight="12.75"/>
  <cols>
    <col min="1" max="1" width="10.85546875" style="35" bestFit="1" customWidth="1"/>
    <col min="2" max="2" width="12.85546875" style="35" bestFit="1" customWidth="1"/>
    <col min="3" max="3" width="15" style="35" bestFit="1" customWidth="1"/>
    <col min="4" max="4" width="17.7109375" style="35" customWidth="1"/>
    <col min="5" max="5" width="17.28515625" style="35" customWidth="1"/>
    <col min="6" max="6" width="16.85546875" style="35" customWidth="1"/>
    <col min="7" max="7" width="18.28515625" style="35" customWidth="1"/>
    <col min="8" max="8" width="21" style="35" customWidth="1"/>
    <col min="9" max="16384" width="9.140625" style="35"/>
  </cols>
  <sheetData>
    <row r="1" spans="1:8" ht="12.95" customHeight="1">
      <c r="A1" s="33" t="s">
        <v>670</v>
      </c>
      <c r="B1" s="34"/>
      <c r="C1" s="34"/>
      <c r="D1" s="34"/>
    </row>
    <row r="2" spans="1:8" ht="14.1" customHeight="1" thickBot="1">
      <c r="A2" s="36"/>
      <c r="B2" s="36"/>
      <c r="C2" s="36"/>
      <c r="D2" s="36"/>
    </row>
    <row r="3" spans="1:8">
      <c r="A3" s="37" t="s">
        <v>1</v>
      </c>
      <c r="B3" s="38" t="s">
        <v>670</v>
      </c>
      <c r="C3" s="38" t="s">
        <v>3</v>
      </c>
      <c r="D3" s="39" t="s">
        <v>4</v>
      </c>
    </row>
    <row r="4" spans="1:8">
      <c r="A4" s="40" t="s">
        <v>5</v>
      </c>
      <c r="B4" s="41" t="s">
        <v>701</v>
      </c>
      <c r="C4" s="41" t="s">
        <v>6</v>
      </c>
      <c r="D4" s="42" t="s">
        <v>17</v>
      </c>
    </row>
    <row r="5" spans="1:8" ht="13.5" thickBot="1">
      <c r="A5" s="40" t="s">
        <v>7</v>
      </c>
      <c r="B5" s="41" t="s">
        <v>8</v>
      </c>
      <c r="C5" s="43" t="s">
        <v>9</v>
      </c>
      <c r="D5" s="16"/>
    </row>
    <row r="6" spans="1:8" ht="15.75" thickBot="1">
      <c r="A6" s="44" t="s">
        <v>661</v>
      </c>
      <c r="B6" s="30" t="s">
        <v>737</v>
      </c>
      <c r="C6" s="43"/>
      <c r="D6" s="45"/>
    </row>
    <row r="8" spans="1:8" ht="13.5" thickBot="1"/>
    <row r="9" spans="1:8">
      <c r="A9" s="46" t="s">
        <v>11</v>
      </c>
      <c r="B9" s="47" t="s">
        <v>741</v>
      </c>
      <c r="C9" s="33" t="s">
        <v>834</v>
      </c>
      <c r="D9" s="33"/>
      <c r="E9" s="33"/>
      <c r="F9" s="33"/>
      <c r="G9" s="33"/>
      <c r="H9" s="33"/>
    </row>
    <row r="10" spans="1:8">
      <c r="A10" s="41">
        <v>1</v>
      </c>
      <c r="B10" s="35">
        <v>7.5000000000000002E-4</v>
      </c>
      <c r="C10" s="48">
        <v>2.5732882575129765E-2</v>
      </c>
    </row>
    <row r="11" spans="1:8">
      <c r="A11" s="41">
        <v>7</v>
      </c>
      <c r="B11" s="35">
        <v>7.5000000000000002E-4</v>
      </c>
      <c r="C11" s="48">
        <v>2.5630423870468624E-2</v>
      </c>
    </row>
    <row r="12" spans="1:8">
      <c r="A12" s="41">
        <v>30</v>
      </c>
      <c r="B12" s="35">
        <v>2.3999999999999998E-3</v>
      </c>
      <c r="C12" s="48">
        <v>2.6891543131644661E-2</v>
      </c>
    </row>
    <row r="13" spans="1:8">
      <c r="A13" s="41">
        <v>91</v>
      </c>
      <c r="B13" s="35">
        <v>3.2799999999999999E-3</v>
      </c>
      <c r="C13" s="48">
        <v>2.6769348374688799E-2</v>
      </c>
    </row>
    <row r="14" spans="1:8">
      <c r="A14" s="41">
        <v>182</v>
      </c>
      <c r="B14" s="35">
        <v>3.0500000000000002E-3</v>
      </c>
      <c r="C14" s="48">
        <v>2.5119979482699815E-2</v>
      </c>
    </row>
    <row r="15" spans="1:8">
      <c r="A15" s="41">
        <v>365</v>
      </c>
      <c r="B15" s="35">
        <v>3.5400000000000002E-3</v>
      </c>
      <c r="C15" s="48">
        <v>2.3010019576785123E-2</v>
      </c>
    </row>
    <row r="16" spans="1:8">
      <c r="A16" s="41">
        <v>730</v>
      </c>
      <c r="B16" s="35">
        <v>5.7200000000000003E-3</v>
      </c>
      <c r="C16" s="48">
        <v>2.0883266492815838E-2</v>
      </c>
    </row>
    <row r="17" spans="1:3">
      <c r="A17" s="41">
        <v>1095</v>
      </c>
      <c r="B17" s="35">
        <v>7.1900000000000002E-3</v>
      </c>
      <c r="C17" s="48">
        <v>1.8999163818525368E-2</v>
      </c>
    </row>
    <row r="18" spans="1:3">
      <c r="A18" s="41">
        <v>1460</v>
      </c>
      <c r="B18" s="35">
        <v>9.5399999999999999E-3</v>
      </c>
      <c r="C18" s="48">
        <v>1.8736986029286057E-2</v>
      </c>
    </row>
    <row r="19" spans="1:3">
      <c r="A19" s="49">
        <v>1825</v>
      </c>
      <c r="B19" s="35">
        <v>1.204E-2</v>
      </c>
      <c r="C19" s="48">
        <v>1.9202619921504752E-2</v>
      </c>
    </row>
    <row r="20" spans="1:3">
      <c r="A20" s="49">
        <v>2190</v>
      </c>
      <c r="B20" s="35">
        <v>1.431E-2</v>
      </c>
      <c r="C20" s="48">
        <v>1.9888254003710745E-2</v>
      </c>
    </row>
    <row r="21" spans="1:3">
      <c r="A21" s="49">
        <v>2555</v>
      </c>
      <c r="B21" s="35">
        <v>1.6400000000000001E-2</v>
      </c>
      <c r="C21" s="48">
        <v>2.0744348586261129E-2</v>
      </c>
    </row>
    <row r="22" spans="1:3">
      <c r="A22" s="41">
        <v>2920</v>
      </c>
      <c r="B22" s="35">
        <v>1.7909999999999999E-2</v>
      </c>
      <c r="C22" s="35">
        <v>2.1293382080915316E-2</v>
      </c>
    </row>
    <row r="23" spans="1:3">
      <c r="A23" s="41">
        <v>3285</v>
      </c>
      <c r="B23" s="35">
        <v>1.9439999999999999E-2</v>
      </c>
      <c r="C23" s="35">
        <v>2.2074980614046606E-2</v>
      </c>
    </row>
    <row r="24" spans="1:3">
      <c r="A24" s="41">
        <v>3650</v>
      </c>
      <c r="B24" s="35">
        <v>2.0729999999999998E-2</v>
      </c>
      <c r="C24" s="35">
        <v>2.2782124965597467E-2</v>
      </c>
    </row>
    <row r="25" spans="1:3">
      <c r="A25" s="41">
        <v>5475</v>
      </c>
      <c r="B25" s="35">
        <v>2.3699999999999999E-2</v>
      </c>
      <c r="C25" s="35">
        <v>2.4287943646400228E-2</v>
      </c>
    </row>
    <row r="26" spans="1:3">
      <c r="A26" s="41">
        <v>7300</v>
      </c>
      <c r="B26" s="35">
        <v>2.35E-2</v>
      </c>
      <c r="C26" s="35">
        <v>2.3668448674977138E-2</v>
      </c>
    </row>
    <row r="27" spans="1:3">
      <c r="A27" s="41">
        <v>10950</v>
      </c>
      <c r="B27" s="35">
        <v>2.3290000000000002E-2</v>
      </c>
      <c r="C27" s="35">
        <v>2.3303827109253699E-2</v>
      </c>
    </row>
  </sheetData>
  <phoneticPr fontId="5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7716" r:id="rId4" name="Button 4">
              <controlPr defaultSize="0" print="0" autoFill="0" autoPict="0" macro="[0]!testscencurve">
                <anchor moveWithCells="1" sizeWithCells="1">
                  <from>
                    <xdr:col>4</xdr:col>
                    <xdr:colOff>209550</xdr:colOff>
                    <xdr:row>14</xdr:row>
                    <xdr:rowOff>95250</xdr:rowOff>
                  </from>
                  <to>
                    <xdr:col>5</xdr:col>
                    <xdr:colOff>762000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35407-77A2-47CF-AFB4-B8B5E3D192F6}">
          <x14:formula1>
            <xm:f>Data!$C$2:$C$7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90F3A-9A9F-7447-995B-F2DFFCB96AA0}">
  <sheetPr codeName="Sheet57">
    <tabColor rgb="FF7030A0"/>
  </sheetPr>
  <dimension ref="A1:H27"/>
  <sheetViews>
    <sheetView topLeftCell="A4" workbookViewId="0">
      <selection activeCell="F24" sqref="F24"/>
    </sheetView>
  </sheetViews>
  <sheetFormatPr defaultColWidth="9.140625" defaultRowHeight="12.75"/>
  <cols>
    <col min="1" max="1" width="10.85546875" style="35" bestFit="1" customWidth="1"/>
    <col min="2" max="2" width="12.85546875" style="35" bestFit="1" customWidth="1"/>
    <col min="3" max="3" width="15" style="35" bestFit="1" customWidth="1"/>
    <col min="4" max="4" width="16.140625" style="35" customWidth="1"/>
    <col min="5" max="5" width="15.85546875" style="35" customWidth="1"/>
    <col min="6" max="6" width="17.42578125" style="35" customWidth="1"/>
    <col min="7" max="7" width="19.85546875" style="35" bestFit="1" customWidth="1"/>
    <col min="8" max="8" width="22.28515625" style="35" bestFit="1" customWidth="1"/>
    <col min="9" max="16384" width="9.140625" style="35"/>
  </cols>
  <sheetData>
    <row r="1" spans="1:8" ht="12.95" customHeight="1">
      <c r="A1" s="50" t="s">
        <v>734</v>
      </c>
      <c r="B1" s="34"/>
      <c r="C1" s="34"/>
      <c r="D1" s="34"/>
    </row>
    <row r="2" spans="1:8" ht="14.1" customHeight="1" thickBot="1">
      <c r="A2" s="36"/>
      <c r="B2" s="36"/>
      <c r="C2" s="36"/>
      <c r="D2" s="36"/>
    </row>
    <row r="3" spans="1:8">
      <c r="A3" s="37" t="s">
        <v>1</v>
      </c>
      <c r="B3" s="38" t="s">
        <v>671</v>
      </c>
      <c r="C3" s="38" t="s">
        <v>3</v>
      </c>
      <c r="D3" s="39" t="s">
        <v>4</v>
      </c>
    </row>
    <row r="4" spans="1:8">
      <c r="A4" s="40" t="s">
        <v>5</v>
      </c>
      <c r="B4" s="41" t="s">
        <v>701</v>
      </c>
      <c r="C4" s="41" t="s">
        <v>6</v>
      </c>
      <c r="D4" s="42" t="s">
        <v>17</v>
      </c>
    </row>
    <row r="5" spans="1:8" ht="13.5" thickBot="1">
      <c r="A5" s="40" t="s">
        <v>7</v>
      </c>
      <c r="B5" s="41" t="s">
        <v>8</v>
      </c>
      <c r="C5" s="43" t="s">
        <v>9</v>
      </c>
      <c r="D5" s="16"/>
    </row>
    <row r="6" spans="1:8" ht="15.75" thickBot="1">
      <c r="A6" s="44" t="s">
        <v>661</v>
      </c>
      <c r="B6" s="30" t="s">
        <v>737</v>
      </c>
      <c r="C6" s="43"/>
      <c r="D6" s="45"/>
    </row>
    <row r="8" spans="1:8" ht="13.5" thickBot="1"/>
    <row r="9" spans="1:8">
      <c r="A9" s="46" t="s">
        <v>11</v>
      </c>
      <c r="B9" s="47" t="s">
        <v>741</v>
      </c>
      <c r="C9" s="33" t="s">
        <v>834</v>
      </c>
      <c r="D9" s="33"/>
      <c r="E9" s="33"/>
      <c r="F9" s="33"/>
      <c r="G9" s="33"/>
      <c r="H9" s="33"/>
    </row>
    <row r="10" spans="1:8">
      <c r="A10" s="41">
        <v>1</v>
      </c>
      <c r="B10" s="35">
        <v>2.2100000000000002E-3</v>
      </c>
      <c r="C10" s="48">
        <v>4.7179188635233571E-2</v>
      </c>
    </row>
    <row r="11" spans="1:8">
      <c r="A11" s="41">
        <v>7</v>
      </c>
      <c r="B11" s="35">
        <v>1.6999999999999999E-3</v>
      </c>
      <c r="C11" s="48">
        <v>4.6484762966843521E-2</v>
      </c>
    </row>
    <row r="12" spans="1:8">
      <c r="A12" s="41">
        <v>30</v>
      </c>
      <c r="B12" s="35">
        <v>1.6999999999999999E-3</v>
      </c>
      <c r="C12" s="48">
        <v>4.5784777636960393E-2</v>
      </c>
    </row>
    <row r="13" spans="1:8">
      <c r="A13" s="41">
        <v>91</v>
      </c>
      <c r="B13" s="35">
        <v>2.2100000000000002E-3</v>
      </c>
      <c r="C13" s="48">
        <v>4.449082707443984E-2</v>
      </c>
    </row>
    <row r="14" spans="1:8">
      <c r="A14" s="41">
        <v>182</v>
      </c>
      <c r="B14" s="35">
        <v>2.8600000000000001E-3</v>
      </c>
      <c r="C14" s="48">
        <v>4.2585963068859665E-2</v>
      </c>
    </row>
    <row r="15" spans="1:8">
      <c r="A15" s="41">
        <v>365</v>
      </c>
      <c r="B15" s="35">
        <v>3.5200000000000001E-3</v>
      </c>
      <c r="C15" s="48">
        <v>3.8566035238213225E-2</v>
      </c>
    </row>
    <row r="16" spans="1:8">
      <c r="A16" s="41">
        <v>730</v>
      </c>
      <c r="B16" s="35">
        <v>5.9899999999999997E-3</v>
      </c>
      <c r="C16" s="48">
        <v>3.3283879687068509E-2</v>
      </c>
    </row>
    <row r="17" spans="1:3">
      <c r="A17" s="41">
        <v>1095</v>
      </c>
      <c r="B17" s="35">
        <v>7.2300000000000003E-3</v>
      </c>
      <c r="C17" s="48">
        <v>2.8486494873345661E-2</v>
      </c>
    </row>
    <row r="18" spans="1:3">
      <c r="A18" s="41">
        <v>1460</v>
      </c>
      <c r="B18" s="35">
        <v>8.43E-3</v>
      </c>
      <c r="C18" s="48">
        <v>2.4984574852714905E-2</v>
      </c>
    </row>
    <row r="19" spans="1:3">
      <c r="A19" s="49">
        <v>1825</v>
      </c>
      <c r="B19" s="35">
        <v>9.6299999999999997E-3</v>
      </c>
      <c r="C19" s="48">
        <v>2.2522715858708554E-2</v>
      </c>
    </row>
    <row r="20" spans="1:3">
      <c r="A20" s="49">
        <v>2190</v>
      </c>
      <c r="B20" s="35">
        <v>1.06E-2</v>
      </c>
      <c r="C20" s="48">
        <v>2.0640857206679342E-2</v>
      </c>
    </row>
    <row r="21" spans="1:3">
      <c r="A21" s="49">
        <v>2555</v>
      </c>
      <c r="B21" s="35">
        <v>1.157E-2</v>
      </c>
      <c r="C21" s="48">
        <v>1.9389827455270032E-2</v>
      </c>
    </row>
    <row r="22" spans="1:3">
      <c r="A22" s="41">
        <v>2920</v>
      </c>
      <c r="B22" s="35">
        <v>1.2409999999999999E-2</v>
      </c>
      <c r="C22" s="35">
        <v>1.850008774564757E-2</v>
      </c>
    </row>
    <row r="23" spans="1:3">
      <c r="A23" s="41">
        <v>3285</v>
      </c>
      <c r="B23" s="35">
        <v>1.3390000000000001E-2</v>
      </c>
      <c r="C23" s="35">
        <v>1.8132965105283897E-2</v>
      </c>
    </row>
    <row r="24" spans="1:3">
      <c r="A24" s="41">
        <v>3650</v>
      </c>
      <c r="B24" s="35">
        <v>1.3950000000000001E-2</v>
      </c>
      <c r="C24" s="35">
        <v>1.7643824938075446E-2</v>
      </c>
    </row>
    <row r="25" spans="1:3">
      <c r="A25" s="41">
        <v>5475</v>
      </c>
      <c r="B25" s="35">
        <v>1.6400000000000001E-2</v>
      </c>
      <c r="C25" s="35">
        <v>1.7458298563520411E-2</v>
      </c>
    </row>
    <row r="26" spans="1:3">
      <c r="A26" s="41">
        <v>7300</v>
      </c>
      <c r="B26" s="35">
        <v>1.686E-2</v>
      </c>
      <c r="C26" s="35">
        <v>1.7163207614958848E-2</v>
      </c>
    </row>
    <row r="27" spans="1:3">
      <c r="A27" s="41">
        <v>10950</v>
      </c>
      <c r="B27" s="35">
        <v>1.9140000000000001E-2</v>
      </c>
      <c r="C27" s="35">
        <v>1.9164888796656652E-2</v>
      </c>
    </row>
  </sheetData>
  <phoneticPr fontId="5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9763" r:id="rId4" name="Button 3">
              <controlPr defaultSize="0" print="0" autoFill="0" autoPict="0" macro="[0]!testscencurve">
                <anchor moveWithCells="1" sizeWithCells="1">
                  <from>
                    <xdr:col>4</xdr:col>
                    <xdr:colOff>219075</xdr:colOff>
                    <xdr:row>13</xdr:row>
                    <xdr:rowOff>152400</xdr:rowOff>
                  </from>
                  <to>
                    <xdr:col>5</xdr:col>
                    <xdr:colOff>1000125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7C8FE4-4A2D-4AB0-B049-A383733F4B24}">
          <x14:formula1>
            <xm:f>Data!$C$2:$C$7</xm:f>
          </x14:formula1>
          <xm:sqref>C9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0CBCD-8706-E245-BF1A-4F16B2F49A68}">
  <sheetPr codeName="Sheet18"/>
  <dimension ref="A1:G20"/>
  <sheetViews>
    <sheetView workbookViewId="0">
      <selection activeCell="Q40" sqref="Q40"/>
    </sheetView>
  </sheetViews>
  <sheetFormatPr defaultColWidth="8.85546875" defaultRowHeight="15"/>
  <cols>
    <col min="1" max="16384" width="8.85546875" style="27"/>
  </cols>
  <sheetData>
    <row r="1" spans="1:7" ht="20.25">
      <c r="A1" s="29" t="s">
        <v>13</v>
      </c>
      <c r="B1" s="29" t="s">
        <v>742</v>
      </c>
      <c r="C1" s="29" t="s">
        <v>743</v>
      </c>
      <c r="D1" s="51"/>
      <c r="E1" s="51"/>
      <c r="F1" s="51"/>
      <c r="G1" s="51"/>
    </row>
    <row r="2" spans="1:7" ht="20.25">
      <c r="A2" s="52"/>
      <c r="B2" s="52"/>
      <c r="C2" s="53"/>
      <c r="D2" s="51"/>
      <c r="E2" s="51"/>
      <c r="F2" s="51"/>
      <c r="G2" s="51"/>
    </row>
    <row r="3" spans="1:7">
      <c r="A3" s="54" t="s">
        <v>663</v>
      </c>
      <c r="B3" s="55" t="s">
        <v>14</v>
      </c>
      <c r="C3" s="56" t="s">
        <v>744</v>
      </c>
      <c r="D3" s="57"/>
      <c r="E3" s="57"/>
      <c r="F3" s="57"/>
      <c r="G3" s="57"/>
    </row>
    <row r="4" spans="1:7">
      <c r="A4" s="58" t="s">
        <v>14</v>
      </c>
      <c r="B4" s="59">
        <v>1</v>
      </c>
      <c r="C4" s="66" t="s">
        <v>15</v>
      </c>
      <c r="D4" s="60"/>
      <c r="E4" s="60"/>
      <c r="F4" s="60"/>
      <c r="G4" s="60"/>
    </row>
    <row r="5" spans="1:7">
      <c r="A5" s="58" t="s">
        <v>370</v>
      </c>
      <c r="B5" s="61">
        <v>0.96852000000000005</v>
      </c>
      <c r="C5" s="66" t="s">
        <v>2</v>
      </c>
      <c r="D5" s="62"/>
      <c r="E5" s="62"/>
      <c r="F5" s="62"/>
      <c r="G5" s="62"/>
    </row>
    <row r="6" spans="1:7">
      <c r="A6" s="58" t="s">
        <v>61</v>
      </c>
      <c r="B6" s="61">
        <v>1.3595999999999999</v>
      </c>
      <c r="C6" s="66" t="s">
        <v>660</v>
      </c>
      <c r="D6" s="62"/>
      <c r="E6" s="62"/>
      <c r="F6" s="62"/>
      <c r="G6" s="62"/>
    </row>
    <row r="7" spans="1:7">
      <c r="A7" s="58" t="s">
        <v>295</v>
      </c>
      <c r="B7" s="61">
        <v>1.5831</v>
      </c>
      <c r="C7" s="66" t="s">
        <v>668</v>
      </c>
      <c r="D7" s="62"/>
      <c r="E7" s="62"/>
      <c r="F7" s="62"/>
      <c r="G7" s="62"/>
    </row>
    <row r="8" spans="1:7">
      <c r="A8" s="58" t="s">
        <v>659</v>
      </c>
      <c r="B8" s="61">
        <v>0.12884999999999999</v>
      </c>
      <c r="C8" s="66" t="s">
        <v>670</v>
      </c>
      <c r="D8" s="62"/>
      <c r="E8" s="62"/>
      <c r="F8" s="62"/>
      <c r="G8" s="62"/>
    </row>
    <row r="9" spans="1:7">
      <c r="A9" s="58" t="s">
        <v>733</v>
      </c>
      <c r="B9" s="61">
        <v>3.2009999999999997E-2</v>
      </c>
      <c r="C9" s="66" t="s">
        <v>734</v>
      </c>
      <c r="D9" s="63"/>
      <c r="E9" s="62"/>
      <c r="F9" s="62"/>
      <c r="G9" s="62"/>
    </row>
    <row r="10" spans="1:7">
      <c r="A10" s="58" t="s">
        <v>728</v>
      </c>
      <c r="B10" s="61">
        <v>8.6280000000000003E-3</v>
      </c>
      <c r="C10" s="66" t="s">
        <v>672</v>
      </c>
      <c r="D10" s="63"/>
      <c r="E10" s="62"/>
      <c r="F10" s="62"/>
      <c r="G10" s="62"/>
    </row>
    <row r="11" spans="1:7">
      <c r="A11" s="31"/>
      <c r="B11" s="29"/>
      <c r="C11" s="67"/>
      <c r="D11" s="63"/>
      <c r="E11" s="62"/>
      <c r="F11" s="62"/>
      <c r="G11" s="62"/>
    </row>
    <row r="12" spans="1:7">
      <c r="C12" s="65"/>
      <c r="D12" s="63"/>
      <c r="E12" s="62"/>
      <c r="F12" s="62"/>
      <c r="G12" s="62"/>
    </row>
    <row r="13" spans="1:7">
      <c r="A13" s="58" t="s">
        <v>664</v>
      </c>
      <c r="B13" s="29"/>
      <c r="C13" s="66" t="s">
        <v>15</v>
      </c>
      <c r="D13" s="62"/>
      <c r="E13" s="62"/>
      <c r="F13" s="62"/>
      <c r="G13" s="62"/>
    </row>
    <row r="14" spans="1:7">
      <c r="A14" s="58" t="s">
        <v>665</v>
      </c>
      <c r="B14" s="29"/>
      <c r="C14" s="66" t="s">
        <v>2</v>
      </c>
    </row>
    <row r="15" spans="1:7">
      <c r="A15" s="58" t="s">
        <v>666</v>
      </c>
      <c r="B15" s="29"/>
      <c r="C15" s="66" t="s">
        <v>660</v>
      </c>
    </row>
    <row r="16" spans="1:7">
      <c r="A16" s="58" t="s">
        <v>667</v>
      </c>
      <c r="B16" s="29"/>
      <c r="C16" s="66" t="s">
        <v>668</v>
      </c>
    </row>
    <row r="17" spans="1:3">
      <c r="A17" s="58" t="s">
        <v>669</v>
      </c>
      <c r="B17" s="29"/>
      <c r="C17" s="66" t="s">
        <v>670</v>
      </c>
    </row>
    <row r="18" spans="1:3">
      <c r="A18" s="58" t="s">
        <v>745</v>
      </c>
      <c r="B18" s="29"/>
      <c r="C18" s="66" t="s">
        <v>734</v>
      </c>
    </row>
    <row r="19" spans="1:3">
      <c r="A19" s="58" t="s">
        <v>732</v>
      </c>
      <c r="B19" s="29"/>
      <c r="C19" s="66" t="s">
        <v>672</v>
      </c>
    </row>
    <row r="20" spans="1:3">
      <c r="A20" s="58"/>
      <c r="B20" s="29"/>
      <c r="C20" s="67"/>
    </row>
  </sheetData>
  <phoneticPr fontId="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B0982-47B2-384C-BB18-9CD079E90BD6}">
  <sheetPr codeName="Sheet2"/>
  <dimension ref="A1:Q266"/>
  <sheetViews>
    <sheetView workbookViewId="0">
      <selection activeCell="N16" sqref="E16:N16"/>
    </sheetView>
  </sheetViews>
  <sheetFormatPr defaultColWidth="8.85546875" defaultRowHeight="15"/>
  <cols>
    <col min="1" max="1" width="31.42578125" style="29" customWidth="1"/>
    <col min="2" max="2" width="16.42578125" style="29" customWidth="1"/>
    <col min="3" max="3" width="8.85546875" style="29"/>
    <col min="4" max="4" width="11.28515625" style="29" customWidth="1"/>
    <col min="5" max="5" width="6.85546875" style="29" customWidth="1"/>
    <col min="6" max="6" width="8.85546875" style="29"/>
    <col min="7" max="7" width="9.140625" style="29" customWidth="1"/>
    <col min="8" max="8" width="11.42578125" style="29" customWidth="1"/>
    <col min="9" max="9" width="10.7109375" style="29" customWidth="1"/>
    <col min="10" max="10" width="11.85546875" style="29" customWidth="1"/>
    <col min="11" max="11" width="10.28515625" style="29" bestFit="1" customWidth="1"/>
    <col min="12" max="12" width="10.42578125" style="97" customWidth="1"/>
    <col min="13" max="15" width="8.85546875" style="29"/>
    <col min="16" max="16" width="12.7109375" style="29" customWidth="1"/>
    <col min="17" max="17" width="17.85546875" style="29" customWidth="1"/>
    <col min="18" max="16384" width="8.85546875" style="29"/>
  </cols>
  <sheetData>
    <row r="1" spans="1:17" s="84" customFormat="1" ht="38.25">
      <c r="A1" s="82" t="s">
        <v>775</v>
      </c>
      <c r="B1" s="82" t="s">
        <v>27</v>
      </c>
      <c r="C1" s="82" t="s">
        <v>28</v>
      </c>
      <c r="D1" s="82" t="s">
        <v>29</v>
      </c>
      <c r="E1" s="82" t="s">
        <v>30</v>
      </c>
      <c r="F1" s="82" t="s">
        <v>31</v>
      </c>
      <c r="G1" s="82" t="s">
        <v>32</v>
      </c>
      <c r="H1" s="82" t="s">
        <v>33</v>
      </c>
      <c r="I1" s="82" t="s">
        <v>34</v>
      </c>
      <c r="J1" s="82" t="s">
        <v>35</v>
      </c>
      <c r="K1" s="82" t="s">
        <v>36</v>
      </c>
      <c r="L1" s="83" t="s">
        <v>37</v>
      </c>
      <c r="M1" s="82" t="s">
        <v>38</v>
      </c>
      <c r="N1" s="82" t="s">
        <v>39</v>
      </c>
      <c r="O1" s="82" t="s">
        <v>40</v>
      </c>
      <c r="P1" s="82" t="s">
        <v>776</v>
      </c>
    </row>
    <row r="2" spans="1:17">
      <c r="A2" s="41" t="s">
        <v>628</v>
      </c>
      <c r="B2" s="85" t="s">
        <v>16</v>
      </c>
      <c r="C2" s="85" t="s">
        <v>0</v>
      </c>
      <c r="D2" s="85" t="s">
        <v>60</v>
      </c>
      <c r="E2" s="85" t="s">
        <v>14</v>
      </c>
      <c r="F2" s="85" t="s">
        <v>410</v>
      </c>
      <c r="G2" s="86" t="s">
        <v>695</v>
      </c>
      <c r="H2" s="85" t="s">
        <v>45</v>
      </c>
      <c r="I2" s="85" t="s">
        <v>630</v>
      </c>
      <c r="J2" s="87">
        <v>1113</v>
      </c>
      <c r="K2" s="88">
        <v>42770</v>
      </c>
      <c r="L2" s="89"/>
      <c r="M2" s="85" t="s">
        <v>22</v>
      </c>
      <c r="N2" s="85" t="s">
        <v>15</v>
      </c>
      <c r="O2" s="90">
        <v>0</v>
      </c>
      <c r="P2" s="91">
        <v>0.03</v>
      </c>
      <c r="Q2" s="92">
        <f ca="1">TODAY() -1</f>
        <v>44267</v>
      </c>
    </row>
    <row r="3" spans="1:17">
      <c r="A3" s="41" t="s">
        <v>456</v>
      </c>
      <c r="B3" s="85" t="s">
        <v>16</v>
      </c>
      <c r="C3" s="85" t="s">
        <v>137</v>
      </c>
      <c r="D3" s="85" t="s">
        <v>42</v>
      </c>
      <c r="E3" s="85" t="s">
        <v>370</v>
      </c>
      <c r="F3" s="85" t="s">
        <v>113</v>
      </c>
      <c r="G3" s="93" t="s">
        <v>696</v>
      </c>
      <c r="H3" s="85" t="s">
        <v>132</v>
      </c>
      <c r="I3" s="85" t="s">
        <v>458</v>
      </c>
      <c r="J3" s="87">
        <v>1583</v>
      </c>
      <c r="K3" s="88">
        <v>43240</v>
      </c>
      <c r="L3" s="89"/>
      <c r="M3" s="85" t="s">
        <v>22</v>
      </c>
      <c r="N3" s="85" t="s">
        <v>2</v>
      </c>
      <c r="O3" s="90">
        <v>1E-3</v>
      </c>
      <c r="P3" s="91">
        <v>0.05</v>
      </c>
    </row>
    <row r="4" spans="1:17">
      <c r="A4" s="41" t="s">
        <v>642</v>
      </c>
      <c r="B4" s="85" t="s">
        <v>16</v>
      </c>
      <c r="C4" s="85" t="s">
        <v>356</v>
      </c>
      <c r="D4" s="85" t="s">
        <v>54</v>
      </c>
      <c r="E4" s="85" t="s">
        <v>14</v>
      </c>
      <c r="F4" s="85" t="s">
        <v>106</v>
      </c>
      <c r="G4" s="85" t="s">
        <v>643</v>
      </c>
      <c r="H4" s="85" t="s">
        <v>45</v>
      </c>
      <c r="I4" s="85" t="s">
        <v>644</v>
      </c>
      <c r="J4" s="87">
        <v>1790</v>
      </c>
      <c r="K4" s="88">
        <v>43447</v>
      </c>
      <c r="L4" s="89"/>
      <c r="M4" s="85" t="s">
        <v>52</v>
      </c>
      <c r="N4" s="85" t="s">
        <v>15</v>
      </c>
      <c r="O4" s="90">
        <v>0</v>
      </c>
      <c r="P4" s="94">
        <v>0.02</v>
      </c>
    </row>
    <row r="5" spans="1:17">
      <c r="A5" s="41" t="s">
        <v>642</v>
      </c>
      <c r="B5" s="85" t="s">
        <v>16</v>
      </c>
      <c r="C5" s="85" t="s">
        <v>356</v>
      </c>
      <c r="D5" s="85" t="s">
        <v>54</v>
      </c>
      <c r="E5" s="85" t="s">
        <v>14</v>
      </c>
      <c r="F5" s="85" t="s">
        <v>82</v>
      </c>
      <c r="G5" s="85" t="s">
        <v>645</v>
      </c>
      <c r="H5" s="85" t="s">
        <v>45</v>
      </c>
      <c r="I5" s="85" t="s">
        <v>644</v>
      </c>
      <c r="J5" s="87">
        <v>1060</v>
      </c>
      <c r="K5" s="88">
        <v>42717</v>
      </c>
      <c r="L5" s="89"/>
      <c r="M5" s="85" t="s">
        <v>20</v>
      </c>
      <c r="N5" s="85" t="s">
        <v>15</v>
      </c>
      <c r="O5" s="90">
        <v>0</v>
      </c>
      <c r="P5" s="94">
        <v>0.02</v>
      </c>
    </row>
    <row r="6" spans="1:17">
      <c r="A6" s="41" t="s">
        <v>498</v>
      </c>
      <c r="B6" s="85" t="s">
        <v>16</v>
      </c>
      <c r="C6" s="85" t="s">
        <v>0</v>
      </c>
      <c r="D6" s="85" t="s">
        <v>54</v>
      </c>
      <c r="E6" s="85" t="s">
        <v>14</v>
      </c>
      <c r="F6" s="85" t="s">
        <v>302</v>
      </c>
      <c r="G6" s="85" t="s">
        <v>504</v>
      </c>
      <c r="H6" s="85" t="s">
        <v>45</v>
      </c>
      <c r="I6" s="85" t="s">
        <v>500</v>
      </c>
      <c r="J6" s="87">
        <v>884</v>
      </c>
      <c r="K6" s="88">
        <v>42541</v>
      </c>
      <c r="L6" s="89"/>
      <c r="M6" s="85" t="s">
        <v>21</v>
      </c>
      <c r="N6" s="85" t="s">
        <v>15</v>
      </c>
      <c r="O6" s="90">
        <v>1E-3</v>
      </c>
      <c r="P6" s="91">
        <v>0.05</v>
      </c>
    </row>
    <row r="7" spans="1:17">
      <c r="A7" s="41" t="s">
        <v>477</v>
      </c>
      <c r="B7" s="85" t="s">
        <v>16</v>
      </c>
      <c r="C7" s="85" t="s">
        <v>137</v>
      </c>
      <c r="D7" s="85" t="s">
        <v>60</v>
      </c>
      <c r="E7" s="85" t="s">
        <v>61</v>
      </c>
      <c r="F7" s="85" t="s">
        <v>376</v>
      </c>
      <c r="G7" s="85" t="s">
        <v>478</v>
      </c>
      <c r="H7" s="85" t="s">
        <v>475</v>
      </c>
      <c r="I7" s="85" t="s">
        <v>479</v>
      </c>
      <c r="J7" s="87">
        <v>4760</v>
      </c>
      <c r="K7" s="88">
        <v>46417</v>
      </c>
      <c r="L7" s="89"/>
      <c r="M7" s="85" t="s">
        <v>21</v>
      </c>
      <c r="N7" s="85" t="s">
        <v>660</v>
      </c>
      <c r="O7" s="90">
        <v>1E-3</v>
      </c>
      <c r="P7" s="91">
        <v>0.05</v>
      </c>
    </row>
    <row r="8" spans="1:17">
      <c r="A8" s="41" t="s">
        <v>477</v>
      </c>
      <c r="B8" s="85" t="s">
        <v>16</v>
      </c>
      <c r="C8" s="85" t="s">
        <v>137</v>
      </c>
      <c r="D8" s="85" t="s">
        <v>60</v>
      </c>
      <c r="E8" s="85" t="s">
        <v>61</v>
      </c>
      <c r="F8" s="85" t="s">
        <v>49</v>
      </c>
      <c r="G8" s="85" t="s">
        <v>480</v>
      </c>
      <c r="H8" s="85" t="s">
        <v>475</v>
      </c>
      <c r="I8" s="85" t="s">
        <v>479</v>
      </c>
      <c r="J8" s="87">
        <v>4760</v>
      </c>
      <c r="K8" s="88">
        <v>46417</v>
      </c>
      <c r="L8" s="89"/>
      <c r="M8" s="85" t="s">
        <v>20</v>
      </c>
      <c r="N8" s="85" t="s">
        <v>660</v>
      </c>
      <c r="O8" s="90">
        <v>1E-3</v>
      </c>
      <c r="P8" s="91">
        <v>0.05</v>
      </c>
    </row>
    <row r="9" spans="1:17">
      <c r="A9" s="41" t="s">
        <v>477</v>
      </c>
      <c r="B9" s="85" t="s">
        <v>16</v>
      </c>
      <c r="C9" s="85" t="s">
        <v>137</v>
      </c>
      <c r="D9" s="85" t="s">
        <v>60</v>
      </c>
      <c r="E9" s="85" t="s">
        <v>61</v>
      </c>
      <c r="F9" s="85" t="s">
        <v>392</v>
      </c>
      <c r="G9" s="93" t="s">
        <v>481</v>
      </c>
      <c r="H9" s="85" t="s">
        <v>475</v>
      </c>
      <c r="I9" s="85" t="s">
        <v>479</v>
      </c>
      <c r="J9" s="87">
        <v>3665</v>
      </c>
      <c r="K9" s="88">
        <v>45322</v>
      </c>
      <c r="L9" s="89"/>
      <c r="M9" s="85" t="s">
        <v>21</v>
      </c>
      <c r="N9" s="85" t="s">
        <v>660</v>
      </c>
      <c r="O9" s="90">
        <v>1E-3</v>
      </c>
      <c r="P9" s="91">
        <v>0.05</v>
      </c>
    </row>
    <row r="10" spans="1:17">
      <c r="A10" s="41" t="s">
        <v>477</v>
      </c>
      <c r="B10" s="85" t="s">
        <v>16</v>
      </c>
      <c r="C10" s="85" t="s">
        <v>137</v>
      </c>
      <c r="D10" s="85" t="s">
        <v>60</v>
      </c>
      <c r="E10" s="85" t="s">
        <v>61</v>
      </c>
      <c r="F10" s="85" t="s">
        <v>78</v>
      </c>
      <c r="G10" s="85" t="s">
        <v>482</v>
      </c>
      <c r="H10" s="85" t="s">
        <v>475</v>
      </c>
      <c r="I10" s="85" t="s">
        <v>479</v>
      </c>
      <c r="J10" s="87">
        <v>2569</v>
      </c>
      <c r="K10" s="88">
        <v>44226</v>
      </c>
      <c r="L10" s="89"/>
      <c r="M10" s="85" t="s">
        <v>22</v>
      </c>
      <c r="N10" s="85" t="s">
        <v>660</v>
      </c>
      <c r="O10" s="90">
        <v>1E-3</v>
      </c>
      <c r="P10" s="91">
        <v>0.05</v>
      </c>
    </row>
    <row r="11" spans="1:17" ht="26.25">
      <c r="A11" s="41" t="s">
        <v>308</v>
      </c>
      <c r="B11" s="85" t="s">
        <v>12</v>
      </c>
      <c r="C11" s="85" t="s">
        <v>364</v>
      </c>
      <c r="D11" s="85" t="s">
        <v>54</v>
      </c>
      <c r="E11" s="85" t="s">
        <v>61</v>
      </c>
      <c r="F11" s="85" t="s">
        <v>116</v>
      </c>
      <c r="G11" s="85" t="s">
        <v>313</v>
      </c>
      <c r="H11" s="85" t="s">
        <v>188</v>
      </c>
      <c r="I11" s="85" t="s">
        <v>310</v>
      </c>
      <c r="J11" s="87">
        <v>334</v>
      </c>
      <c r="K11" s="88">
        <v>41991</v>
      </c>
      <c r="L11" s="89" t="s">
        <v>19</v>
      </c>
      <c r="M11" s="85" t="s">
        <v>22</v>
      </c>
      <c r="N11" s="85" t="s">
        <v>660</v>
      </c>
      <c r="O11" s="90">
        <v>0</v>
      </c>
      <c r="P11" s="91"/>
    </row>
    <row r="12" spans="1:17">
      <c r="A12" s="41" t="s">
        <v>675</v>
      </c>
      <c r="B12" s="85" t="s">
        <v>16</v>
      </c>
      <c r="C12" s="85" t="s">
        <v>137</v>
      </c>
      <c r="D12" s="85" t="s">
        <v>66</v>
      </c>
      <c r="E12" s="85" t="s">
        <v>14</v>
      </c>
      <c r="F12" s="85" t="s">
        <v>570</v>
      </c>
      <c r="G12" s="85" t="s">
        <v>571</v>
      </c>
      <c r="H12" s="85" t="s">
        <v>45</v>
      </c>
      <c r="I12" s="85" t="s">
        <v>569</v>
      </c>
      <c r="J12" s="87">
        <v>1101</v>
      </c>
      <c r="K12" s="88">
        <v>42758</v>
      </c>
      <c r="L12" s="89"/>
      <c r="M12" s="85" t="s">
        <v>52</v>
      </c>
      <c r="N12" s="85" t="s">
        <v>15</v>
      </c>
      <c r="O12" s="90">
        <v>1E-3</v>
      </c>
      <c r="P12" s="91">
        <v>0.05</v>
      </c>
    </row>
    <row r="13" spans="1:17">
      <c r="A13" s="41" t="s">
        <v>675</v>
      </c>
      <c r="B13" s="85" t="s">
        <v>16</v>
      </c>
      <c r="C13" s="85" t="s">
        <v>137</v>
      </c>
      <c r="D13" s="85" t="s">
        <v>66</v>
      </c>
      <c r="E13" s="85" t="s">
        <v>14</v>
      </c>
      <c r="F13" s="85" t="s">
        <v>385</v>
      </c>
      <c r="G13" s="85" t="s">
        <v>572</v>
      </c>
      <c r="H13" s="85" t="s">
        <v>45</v>
      </c>
      <c r="I13" s="85" t="s">
        <v>569</v>
      </c>
      <c r="J13" s="87">
        <v>1101</v>
      </c>
      <c r="K13" s="88">
        <v>42758</v>
      </c>
      <c r="L13" s="89"/>
      <c r="M13" s="85" t="s">
        <v>21</v>
      </c>
      <c r="N13" s="85" t="s">
        <v>15</v>
      </c>
      <c r="O13" s="90">
        <v>1E-3</v>
      </c>
      <c r="P13" s="91">
        <v>0.05</v>
      </c>
    </row>
    <row r="14" spans="1:17">
      <c r="A14" s="41" t="s">
        <v>581</v>
      </c>
      <c r="B14" s="85" t="s">
        <v>16</v>
      </c>
      <c r="C14" s="85" t="s">
        <v>0</v>
      </c>
      <c r="D14" s="85" t="s">
        <v>42</v>
      </c>
      <c r="E14" s="85" t="s">
        <v>14</v>
      </c>
      <c r="F14" s="85" t="s">
        <v>385</v>
      </c>
      <c r="G14" s="85" t="s">
        <v>582</v>
      </c>
      <c r="H14" s="85" t="s">
        <v>45</v>
      </c>
      <c r="I14" s="85" t="s">
        <v>583</v>
      </c>
      <c r="J14" s="87">
        <v>1461</v>
      </c>
      <c r="K14" s="88">
        <v>43118</v>
      </c>
      <c r="L14" s="89"/>
      <c r="M14" s="85" t="s">
        <v>21</v>
      </c>
      <c r="N14" s="85" t="s">
        <v>15</v>
      </c>
      <c r="O14" s="90">
        <v>1E-3</v>
      </c>
      <c r="P14" s="91">
        <v>0.05</v>
      </c>
    </row>
    <row r="15" spans="1:17">
      <c r="A15" s="41" t="s">
        <v>581</v>
      </c>
      <c r="B15" s="85" t="s">
        <v>16</v>
      </c>
      <c r="C15" s="85" t="s">
        <v>0</v>
      </c>
      <c r="D15" s="85" t="s">
        <v>42</v>
      </c>
      <c r="E15" s="85" t="s">
        <v>14</v>
      </c>
      <c r="F15" s="85" t="s">
        <v>391</v>
      </c>
      <c r="G15" s="85" t="s">
        <v>584</v>
      </c>
      <c r="H15" s="85" t="s">
        <v>45</v>
      </c>
      <c r="I15" s="85" t="s">
        <v>583</v>
      </c>
      <c r="J15" s="87">
        <v>1096</v>
      </c>
      <c r="K15" s="88">
        <v>42753</v>
      </c>
      <c r="L15" s="89"/>
      <c r="M15" s="85" t="s">
        <v>22</v>
      </c>
      <c r="N15" s="85" t="s">
        <v>15</v>
      </c>
      <c r="O15" s="90">
        <v>1E-3</v>
      </c>
      <c r="P15" s="91">
        <v>0.05</v>
      </c>
    </row>
    <row r="16" spans="1:17">
      <c r="A16" s="41" t="s">
        <v>581</v>
      </c>
      <c r="B16" s="85" t="s">
        <v>16</v>
      </c>
      <c r="C16" s="85" t="s">
        <v>0</v>
      </c>
      <c r="D16" s="85" t="s">
        <v>42</v>
      </c>
      <c r="E16" s="85" t="s">
        <v>14</v>
      </c>
      <c r="F16" s="85" t="s">
        <v>42</v>
      </c>
      <c r="G16" s="85" t="s">
        <v>585</v>
      </c>
      <c r="H16" s="85" t="s">
        <v>45</v>
      </c>
      <c r="I16" s="85" t="s">
        <v>583</v>
      </c>
      <c r="J16" s="87">
        <v>1096</v>
      </c>
      <c r="K16" s="88">
        <v>42753</v>
      </c>
      <c r="L16" s="89"/>
      <c r="M16" s="85" t="s">
        <v>52</v>
      </c>
      <c r="N16" s="85" t="s">
        <v>15</v>
      </c>
      <c r="O16" s="90">
        <v>1E-3</v>
      </c>
      <c r="P16" s="91">
        <v>0.05</v>
      </c>
    </row>
    <row r="17" spans="1:16">
      <c r="A17" s="41" t="s">
        <v>581</v>
      </c>
      <c r="B17" s="85" t="s">
        <v>16</v>
      </c>
      <c r="C17" s="85" t="s">
        <v>0</v>
      </c>
      <c r="D17" s="85" t="s">
        <v>42</v>
      </c>
      <c r="E17" s="85" t="s">
        <v>14</v>
      </c>
      <c r="F17" s="85" t="s">
        <v>196</v>
      </c>
      <c r="G17" s="85" t="s">
        <v>586</v>
      </c>
      <c r="H17" s="85" t="s">
        <v>45</v>
      </c>
      <c r="I17" s="85" t="s">
        <v>583</v>
      </c>
      <c r="J17" s="87">
        <v>1461</v>
      </c>
      <c r="K17" s="88">
        <v>43118</v>
      </c>
      <c r="L17" s="89"/>
      <c r="M17" s="85" t="s">
        <v>20</v>
      </c>
      <c r="N17" s="85" t="s">
        <v>15</v>
      </c>
      <c r="O17" s="90">
        <v>1E-3</v>
      </c>
      <c r="P17" s="91">
        <v>0.05</v>
      </c>
    </row>
    <row r="18" spans="1:16" ht="26.25">
      <c r="A18" s="41" t="s">
        <v>281</v>
      </c>
      <c r="B18" s="85" t="s">
        <v>12</v>
      </c>
      <c r="C18" s="85" t="s">
        <v>137</v>
      </c>
      <c r="D18" s="85" t="s">
        <v>66</v>
      </c>
      <c r="E18" s="85" t="s">
        <v>14</v>
      </c>
      <c r="F18" s="85" t="s">
        <v>256</v>
      </c>
      <c r="G18" s="85" t="s">
        <v>282</v>
      </c>
      <c r="H18" s="85" t="s">
        <v>45</v>
      </c>
      <c r="I18" s="85" t="s">
        <v>283</v>
      </c>
      <c r="J18" s="87">
        <v>1614</v>
      </c>
      <c r="K18" s="88">
        <v>43271</v>
      </c>
      <c r="L18" s="89" t="s">
        <v>19</v>
      </c>
      <c r="M18" s="85" t="s">
        <v>52</v>
      </c>
      <c r="N18" s="85" t="s">
        <v>15</v>
      </c>
      <c r="O18" s="90">
        <v>0</v>
      </c>
      <c r="P18" s="91"/>
    </row>
    <row r="19" spans="1:16" ht="26.25">
      <c r="A19" s="41" t="s">
        <v>281</v>
      </c>
      <c r="B19" s="85" t="s">
        <v>12</v>
      </c>
      <c r="C19" s="85" t="s">
        <v>137</v>
      </c>
      <c r="D19" s="85" t="s">
        <v>66</v>
      </c>
      <c r="E19" s="85" t="s">
        <v>14</v>
      </c>
      <c r="F19" s="85" t="s">
        <v>284</v>
      </c>
      <c r="G19" s="85" t="s">
        <v>285</v>
      </c>
      <c r="H19" s="85" t="s">
        <v>45</v>
      </c>
      <c r="I19" s="85" t="s">
        <v>283</v>
      </c>
      <c r="J19" s="87">
        <v>1979</v>
      </c>
      <c r="K19" s="88">
        <v>43636</v>
      </c>
      <c r="L19" s="89" t="s">
        <v>19</v>
      </c>
      <c r="M19" s="85" t="s">
        <v>21</v>
      </c>
      <c r="N19" s="85" t="s">
        <v>15</v>
      </c>
      <c r="O19" s="90">
        <v>0</v>
      </c>
      <c r="P19" s="91"/>
    </row>
    <row r="20" spans="1:16">
      <c r="A20" s="41" t="s">
        <v>531</v>
      </c>
      <c r="B20" s="85" t="s">
        <v>16</v>
      </c>
      <c r="C20" s="85" t="s">
        <v>186</v>
      </c>
      <c r="D20" s="85" t="s">
        <v>66</v>
      </c>
      <c r="E20" s="85" t="s">
        <v>14</v>
      </c>
      <c r="F20" s="85" t="s">
        <v>410</v>
      </c>
      <c r="G20" s="85" t="s">
        <v>532</v>
      </c>
      <c r="H20" s="85" t="s">
        <v>45</v>
      </c>
      <c r="I20" s="85" t="s">
        <v>533</v>
      </c>
      <c r="J20" s="87">
        <v>427</v>
      </c>
      <c r="K20" s="88">
        <v>42084</v>
      </c>
      <c r="L20" s="89"/>
      <c r="M20" s="85" t="s">
        <v>52</v>
      </c>
      <c r="N20" s="85" t="s">
        <v>15</v>
      </c>
      <c r="O20" s="90">
        <v>1E-3</v>
      </c>
      <c r="P20" s="91">
        <v>0.05</v>
      </c>
    </row>
    <row r="21" spans="1:16">
      <c r="A21" s="41" t="s">
        <v>531</v>
      </c>
      <c r="B21" s="85" t="s">
        <v>16</v>
      </c>
      <c r="C21" s="85" t="s">
        <v>186</v>
      </c>
      <c r="D21" s="85" t="s">
        <v>66</v>
      </c>
      <c r="E21" s="85" t="s">
        <v>14</v>
      </c>
      <c r="F21" s="85" t="s">
        <v>134</v>
      </c>
      <c r="G21" s="85" t="s">
        <v>534</v>
      </c>
      <c r="H21" s="85" t="s">
        <v>45</v>
      </c>
      <c r="I21" s="85" t="s">
        <v>533</v>
      </c>
      <c r="J21" s="87">
        <v>427</v>
      </c>
      <c r="K21" s="88">
        <v>42084</v>
      </c>
      <c r="L21" s="89"/>
      <c r="M21" s="85" t="s">
        <v>21</v>
      </c>
      <c r="N21" s="85" t="s">
        <v>15</v>
      </c>
      <c r="O21" s="90">
        <v>1E-3</v>
      </c>
      <c r="P21" s="91">
        <v>0.05</v>
      </c>
    </row>
    <row r="22" spans="1:16">
      <c r="A22" s="41" t="s">
        <v>649</v>
      </c>
      <c r="B22" s="85" t="s">
        <v>16</v>
      </c>
      <c r="C22" s="85" t="s">
        <v>186</v>
      </c>
      <c r="D22" s="85">
        <v>1</v>
      </c>
      <c r="E22" s="85" t="s">
        <v>61</v>
      </c>
      <c r="F22" s="85" t="s">
        <v>390</v>
      </c>
      <c r="G22" s="85" t="s">
        <v>650</v>
      </c>
      <c r="H22" s="85" t="s">
        <v>188</v>
      </c>
      <c r="I22" s="85" t="s">
        <v>651</v>
      </c>
      <c r="J22" s="87">
        <v>433</v>
      </c>
      <c r="K22" s="88">
        <v>42090</v>
      </c>
      <c r="L22" s="89"/>
      <c r="M22" s="85" t="s">
        <v>22</v>
      </c>
      <c r="N22" s="85" t="s">
        <v>660</v>
      </c>
      <c r="O22" s="90">
        <v>0</v>
      </c>
      <c r="P22" s="91">
        <v>0.02</v>
      </c>
    </row>
    <row r="23" spans="1:16" ht="26.25">
      <c r="A23" s="41" t="s">
        <v>236</v>
      </c>
      <c r="B23" s="85" t="s">
        <v>12</v>
      </c>
      <c r="C23" s="85" t="s">
        <v>137</v>
      </c>
      <c r="D23" s="85" t="s">
        <v>54</v>
      </c>
      <c r="E23" s="85" t="s">
        <v>14</v>
      </c>
      <c r="F23" s="85" t="s">
        <v>149</v>
      </c>
      <c r="G23" s="85" t="s">
        <v>237</v>
      </c>
      <c r="H23" s="85" t="s">
        <v>45</v>
      </c>
      <c r="I23" s="85" t="s">
        <v>238</v>
      </c>
      <c r="J23" s="87">
        <v>275</v>
      </c>
      <c r="K23" s="88">
        <v>41932</v>
      </c>
      <c r="L23" s="89" t="s">
        <v>19</v>
      </c>
      <c r="M23" s="85" t="s">
        <v>52</v>
      </c>
      <c r="N23" s="85" t="s">
        <v>15</v>
      </c>
      <c r="O23" s="90">
        <v>0</v>
      </c>
      <c r="P23" s="91"/>
    </row>
    <row r="24" spans="1:16">
      <c r="A24" s="41" t="s">
        <v>510</v>
      </c>
      <c r="B24" s="85" t="s">
        <v>16</v>
      </c>
      <c r="C24" s="85" t="s">
        <v>356</v>
      </c>
      <c r="D24" s="85" t="s">
        <v>54</v>
      </c>
      <c r="E24" s="85" t="s">
        <v>14</v>
      </c>
      <c r="F24" s="85" t="s">
        <v>270</v>
      </c>
      <c r="G24" s="85" t="s">
        <v>516</v>
      </c>
      <c r="H24" s="85" t="s">
        <v>45</v>
      </c>
      <c r="I24" s="85" t="s">
        <v>512</v>
      </c>
      <c r="J24" s="87">
        <v>1614</v>
      </c>
      <c r="K24" s="88">
        <v>43271</v>
      </c>
      <c r="L24" s="89"/>
      <c r="M24" s="85" t="s">
        <v>22</v>
      </c>
      <c r="N24" s="85" t="s">
        <v>15</v>
      </c>
      <c r="O24" s="90">
        <v>1E-3</v>
      </c>
      <c r="P24" s="91">
        <v>0.05</v>
      </c>
    </row>
    <row r="25" spans="1:16">
      <c r="A25" s="41" t="s">
        <v>517</v>
      </c>
      <c r="B25" s="85" t="s">
        <v>16</v>
      </c>
      <c r="C25" s="85" t="s">
        <v>356</v>
      </c>
      <c r="D25" s="85" t="s">
        <v>54</v>
      </c>
      <c r="E25" s="85" t="s">
        <v>14</v>
      </c>
      <c r="F25" s="85" t="s">
        <v>270</v>
      </c>
      <c r="G25" s="85" t="s">
        <v>677</v>
      </c>
      <c r="H25" s="85" t="s">
        <v>132</v>
      </c>
      <c r="I25" s="85" t="s">
        <v>518</v>
      </c>
      <c r="J25" s="87">
        <v>1614</v>
      </c>
      <c r="K25" s="88">
        <v>43271</v>
      </c>
      <c r="L25" s="89"/>
      <c r="M25" s="85" t="s">
        <v>21</v>
      </c>
      <c r="N25" s="85" t="s">
        <v>15</v>
      </c>
      <c r="O25" s="90">
        <v>1E-3</v>
      </c>
      <c r="P25" s="91">
        <v>0.05</v>
      </c>
    </row>
    <row r="26" spans="1:16">
      <c r="A26" s="41" t="s">
        <v>437</v>
      </c>
      <c r="B26" s="85" t="s">
        <v>16</v>
      </c>
      <c r="C26" s="85" t="s">
        <v>137</v>
      </c>
      <c r="D26" s="85" t="s">
        <v>54</v>
      </c>
      <c r="E26" s="85" t="s">
        <v>61</v>
      </c>
      <c r="F26" s="85" t="s">
        <v>438</v>
      </c>
      <c r="G26" s="85" t="s">
        <v>439</v>
      </c>
      <c r="H26" s="85" t="s">
        <v>188</v>
      </c>
      <c r="I26" s="85" t="s">
        <v>440</v>
      </c>
      <c r="J26" s="87">
        <v>1004</v>
      </c>
      <c r="K26" s="88">
        <v>42661</v>
      </c>
      <c r="L26" s="89"/>
      <c r="M26" s="85" t="s">
        <v>22</v>
      </c>
      <c r="N26" s="85" t="s">
        <v>660</v>
      </c>
      <c r="O26" s="90">
        <v>1E-3</v>
      </c>
      <c r="P26" s="91">
        <v>0.05</v>
      </c>
    </row>
    <row r="27" spans="1:16">
      <c r="A27" s="41" t="s">
        <v>437</v>
      </c>
      <c r="B27" s="85" t="s">
        <v>16</v>
      </c>
      <c r="C27" s="85" t="s">
        <v>137</v>
      </c>
      <c r="D27" s="85" t="s">
        <v>54</v>
      </c>
      <c r="E27" s="85" t="s">
        <v>61</v>
      </c>
      <c r="F27" s="85" t="s">
        <v>441</v>
      </c>
      <c r="G27" s="85" t="s">
        <v>678</v>
      </c>
      <c r="H27" s="85" t="s">
        <v>188</v>
      </c>
      <c r="I27" s="85" t="s">
        <v>440</v>
      </c>
      <c r="J27" s="87">
        <v>639</v>
      </c>
      <c r="K27" s="88">
        <v>42296</v>
      </c>
      <c r="L27" s="89"/>
      <c r="M27" s="85" t="s">
        <v>52</v>
      </c>
      <c r="N27" s="85" t="s">
        <v>660</v>
      </c>
      <c r="O27" s="90">
        <v>1E-3</v>
      </c>
      <c r="P27" s="91">
        <v>0.05</v>
      </c>
    </row>
    <row r="28" spans="1:16">
      <c r="A28" s="41" t="s">
        <v>437</v>
      </c>
      <c r="B28" s="85" t="s">
        <v>16</v>
      </c>
      <c r="C28" s="85" t="s">
        <v>137</v>
      </c>
      <c r="D28" s="85" t="s">
        <v>54</v>
      </c>
      <c r="E28" s="85" t="s">
        <v>61</v>
      </c>
      <c r="F28" s="85" t="s">
        <v>441</v>
      </c>
      <c r="G28" s="85" t="s">
        <v>679</v>
      </c>
      <c r="H28" s="85" t="s">
        <v>188</v>
      </c>
      <c r="I28" s="85" t="s">
        <v>440</v>
      </c>
      <c r="J28" s="87">
        <v>273</v>
      </c>
      <c r="K28" s="88">
        <v>41930</v>
      </c>
      <c r="L28" s="89"/>
      <c r="M28" s="85" t="s">
        <v>21</v>
      </c>
      <c r="N28" s="85" t="s">
        <v>660</v>
      </c>
      <c r="O28" s="90">
        <v>1E-3</v>
      </c>
      <c r="P28" s="91">
        <v>0.05</v>
      </c>
    </row>
    <row r="29" spans="1:16" ht="26.25">
      <c r="A29" s="41" t="s">
        <v>269</v>
      </c>
      <c r="B29" s="95" t="s">
        <v>12</v>
      </c>
      <c r="C29" s="85" t="s">
        <v>0</v>
      </c>
      <c r="D29" s="85" t="s">
        <v>42</v>
      </c>
      <c r="E29" s="85" t="s">
        <v>14</v>
      </c>
      <c r="F29" s="85" t="s">
        <v>270</v>
      </c>
      <c r="G29" s="85" t="s">
        <v>274</v>
      </c>
      <c r="H29" s="85" t="s">
        <v>45</v>
      </c>
      <c r="I29" s="85" t="s">
        <v>272</v>
      </c>
      <c r="J29" s="87">
        <v>1614</v>
      </c>
      <c r="K29" s="88">
        <v>43271</v>
      </c>
      <c r="L29" s="89" t="s">
        <v>19</v>
      </c>
      <c r="M29" s="85" t="s">
        <v>20</v>
      </c>
      <c r="N29" s="85" t="s">
        <v>15</v>
      </c>
      <c r="O29" s="90">
        <v>0</v>
      </c>
      <c r="P29" s="91"/>
    </row>
    <row r="30" spans="1:16">
      <c r="A30" s="41" t="s">
        <v>674</v>
      </c>
      <c r="B30" s="95" t="s">
        <v>16</v>
      </c>
      <c r="C30" s="85" t="s">
        <v>186</v>
      </c>
      <c r="D30" s="85" t="s">
        <v>42</v>
      </c>
      <c r="E30" s="85" t="s">
        <v>61</v>
      </c>
      <c r="F30" s="85" t="s">
        <v>43</v>
      </c>
      <c r="G30" s="85" t="s">
        <v>459</v>
      </c>
      <c r="H30" s="85" t="s">
        <v>374</v>
      </c>
      <c r="I30" s="85" t="s">
        <v>460</v>
      </c>
      <c r="J30" s="87">
        <v>624</v>
      </c>
      <c r="K30" s="88">
        <v>42281</v>
      </c>
      <c r="L30" s="89"/>
      <c r="M30" s="85" t="s">
        <v>52</v>
      </c>
      <c r="N30" s="85" t="s">
        <v>660</v>
      </c>
      <c r="O30" s="90">
        <v>1E-3</v>
      </c>
      <c r="P30" s="91">
        <v>0.05</v>
      </c>
    </row>
    <row r="31" spans="1:16">
      <c r="A31" s="41" t="s">
        <v>674</v>
      </c>
      <c r="B31" s="95" t="s">
        <v>16</v>
      </c>
      <c r="C31" s="85" t="s">
        <v>186</v>
      </c>
      <c r="D31" s="85" t="s">
        <v>42</v>
      </c>
      <c r="E31" s="85" t="s">
        <v>61</v>
      </c>
      <c r="F31" s="85" t="s">
        <v>276</v>
      </c>
      <c r="G31" s="85" t="s">
        <v>461</v>
      </c>
      <c r="H31" s="85" t="s">
        <v>374</v>
      </c>
      <c r="I31" s="85" t="s">
        <v>460</v>
      </c>
      <c r="J31" s="87">
        <v>76</v>
      </c>
      <c r="K31" s="88">
        <v>41733</v>
      </c>
      <c r="L31" s="89"/>
      <c r="M31" s="85" t="s">
        <v>21</v>
      </c>
      <c r="N31" s="85" t="s">
        <v>660</v>
      </c>
      <c r="O31" s="90">
        <v>1E-3</v>
      </c>
      <c r="P31" s="91">
        <v>0.05</v>
      </c>
    </row>
    <row r="32" spans="1:16">
      <c r="A32" s="41" t="s">
        <v>674</v>
      </c>
      <c r="B32" s="95" t="s">
        <v>16</v>
      </c>
      <c r="C32" s="85" t="s">
        <v>186</v>
      </c>
      <c r="D32" s="85" t="s">
        <v>42</v>
      </c>
      <c r="E32" s="85" t="s">
        <v>61</v>
      </c>
      <c r="F32" s="85" t="s">
        <v>259</v>
      </c>
      <c r="G32" s="85" t="s">
        <v>462</v>
      </c>
      <c r="H32" s="85" t="s">
        <v>374</v>
      </c>
      <c r="I32" s="85" t="s">
        <v>460</v>
      </c>
      <c r="J32" s="87">
        <v>624</v>
      </c>
      <c r="K32" s="88">
        <v>42281</v>
      </c>
      <c r="L32" s="89"/>
      <c r="M32" s="85" t="s">
        <v>20</v>
      </c>
      <c r="N32" s="85" t="s">
        <v>660</v>
      </c>
      <c r="O32" s="90">
        <v>1E-3</v>
      </c>
      <c r="P32" s="91">
        <v>0.05</v>
      </c>
    </row>
    <row r="33" spans="1:16" ht="26.25">
      <c r="A33" s="41" t="s">
        <v>185</v>
      </c>
      <c r="B33" s="95" t="s">
        <v>12</v>
      </c>
      <c r="C33" s="85" t="s">
        <v>364</v>
      </c>
      <c r="D33" s="85">
        <v>3</v>
      </c>
      <c r="E33" s="85" t="s">
        <v>61</v>
      </c>
      <c r="F33" s="85" t="s">
        <v>134</v>
      </c>
      <c r="G33" s="85" t="s">
        <v>187</v>
      </c>
      <c r="H33" s="85" t="s">
        <v>188</v>
      </c>
      <c r="I33" s="85" t="s">
        <v>189</v>
      </c>
      <c r="J33" s="87">
        <v>675</v>
      </c>
      <c r="K33" s="88">
        <v>42332</v>
      </c>
      <c r="L33" s="89" t="s">
        <v>19</v>
      </c>
      <c r="M33" s="85" t="s">
        <v>52</v>
      </c>
      <c r="N33" s="85" t="s">
        <v>660</v>
      </c>
      <c r="O33" s="90">
        <v>1E-3</v>
      </c>
      <c r="P33" s="91"/>
    </row>
    <row r="34" spans="1:16" ht="26.25">
      <c r="A34" s="41" t="s">
        <v>185</v>
      </c>
      <c r="B34" s="95" t="s">
        <v>12</v>
      </c>
      <c r="C34" s="85" t="s">
        <v>364</v>
      </c>
      <c r="D34" s="85">
        <v>3</v>
      </c>
      <c r="E34" s="85" t="s">
        <v>61</v>
      </c>
      <c r="F34" s="85" t="s">
        <v>43</v>
      </c>
      <c r="G34" s="85" t="s">
        <v>190</v>
      </c>
      <c r="H34" s="85" t="s">
        <v>188</v>
      </c>
      <c r="I34" s="85" t="s">
        <v>189</v>
      </c>
      <c r="J34" s="87">
        <v>675</v>
      </c>
      <c r="K34" s="88">
        <v>42332</v>
      </c>
      <c r="L34" s="89" t="s">
        <v>19</v>
      </c>
      <c r="M34" s="85" t="s">
        <v>21</v>
      </c>
      <c r="N34" s="85" t="s">
        <v>660</v>
      </c>
      <c r="O34" s="90">
        <v>1E-3</v>
      </c>
      <c r="P34" s="91"/>
    </row>
    <row r="35" spans="1:16" ht="26.25">
      <c r="A35" s="41" t="s">
        <v>265</v>
      </c>
      <c r="B35" s="95" t="s">
        <v>12</v>
      </c>
      <c r="C35" s="85" t="s">
        <v>137</v>
      </c>
      <c r="D35" s="85" t="s">
        <v>66</v>
      </c>
      <c r="E35" s="85" t="s">
        <v>14</v>
      </c>
      <c r="F35" s="85" t="s">
        <v>266</v>
      </c>
      <c r="G35" s="85" t="s">
        <v>267</v>
      </c>
      <c r="H35" s="85" t="s">
        <v>45</v>
      </c>
      <c r="I35" s="85" t="s">
        <v>268</v>
      </c>
      <c r="J35" s="87">
        <v>792</v>
      </c>
      <c r="K35" s="88">
        <v>42449</v>
      </c>
      <c r="L35" s="89" t="s">
        <v>19</v>
      </c>
      <c r="M35" s="85" t="s">
        <v>22</v>
      </c>
      <c r="N35" s="85" t="s">
        <v>15</v>
      </c>
      <c r="O35" s="90">
        <v>0</v>
      </c>
      <c r="P35" s="91"/>
    </row>
    <row r="36" spans="1:16">
      <c r="A36" s="41" t="s">
        <v>424</v>
      </c>
      <c r="B36" s="95" t="s">
        <v>16</v>
      </c>
      <c r="C36" s="85" t="s">
        <v>137</v>
      </c>
      <c r="D36" s="85" t="s">
        <v>66</v>
      </c>
      <c r="E36" s="85" t="s">
        <v>14</v>
      </c>
      <c r="F36" s="85" t="s">
        <v>43</v>
      </c>
      <c r="G36" s="85" t="s">
        <v>428</v>
      </c>
      <c r="H36" s="85" t="s">
        <v>45</v>
      </c>
      <c r="I36" s="85" t="s">
        <v>427</v>
      </c>
      <c r="J36" s="87">
        <v>1640</v>
      </c>
      <c r="K36" s="88">
        <v>43297</v>
      </c>
      <c r="L36" s="89"/>
      <c r="M36" s="85" t="s">
        <v>21</v>
      </c>
      <c r="N36" s="85" t="s">
        <v>15</v>
      </c>
      <c r="O36" s="90">
        <v>1E-3</v>
      </c>
      <c r="P36" s="91">
        <v>0.05</v>
      </c>
    </row>
    <row r="37" spans="1:16">
      <c r="A37" s="41" t="s">
        <v>424</v>
      </c>
      <c r="B37" s="95" t="s">
        <v>16</v>
      </c>
      <c r="C37" s="85" t="s">
        <v>137</v>
      </c>
      <c r="D37" s="85" t="s">
        <v>66</v>
      </c>
      <c r="E37" s="85" t="s">
        <v>14</v>
      </c>
      <c r="F37" s="85" t="s">
        <v>70</v>
      </c>
      <c r="G37" s="85" t="s">
        <v>429</v>
      </c>
      <c r="H37" s="85" t="s">
        <v>45</v>
      </c>
      <c r="I37" s="85" t="s">
        <v>427</v>
      </c>
      <c r="J37" s="87">
        <v>542</v>
      </c>
      <c r="K37" s="88">
        <v>42199</v>
      </c>
      <c r="L37" s="89"/>
      <c r="M37" s="85" t="s">
        <v>22</v>
      </c>
      <c r="N37" s="85" t="s">
        <v>15</v>
      </c>
      <c r="O37" s="90">
        <v>1E-3</v>
      </c>
      <c r="P37" s="91">
        <v>0.05</v>
      </c>
    </row>
    <row r="38" spans="1:16">
      <c r="A38" s="41" t="s">
        <v>424</v>
      </c>
      <c r="B38" s="95" t="s">
        <v>16</v>
      </c>
      <c r="C38" s="85" t="s">
        <v>137</v>
      </c>
      <c r="D38" s="85" t="s">
        <v>66</v>
      </c>
      <c r="E38" s="85" t="s">
        <v>14</v>
      </c>
      <c r="F38" s="85" t="s">
        <v>430</v>
      </c>
      <c r="G38" s="85" t="s">
        <v>431</v>
      </c>
      <c r="H38" s="85" t="s">
        <v>45</v>
      </c>
      <c r="I38" s="85" t="s">
        <v>427</v>
      </c>
      <c r="J38" s="87">
        <v>542</v>
      </c>
      <c r="K38" s="88">
        <v>42199</v>
      </c>
      <c r="L38" s="89"/>
      <c r="M38" s="85" t="s">
        <v>52</v>
      </c>
      <c r="N38" s="85" t="s">
        <v>15</v>
      </c>
      <c r="O38" s="90">
        <v>1E-3</v>
      </c>
      <c r="P38" s="91">
        <v>0.05</v>
      </c>
    </row>
    <row r="39" spans="1:16" ht="26.25">
      <c r="A39" s="41" t="s">
        <v>239</v>
      </c>
      <c r="B39" s="95" t="s">
        <v>12</v>
      </c>
      <c r="C39" s="85" t="s">
        <v>364</v>
      </c>
      <c r="D39" s="85" t="s">
        <v>54</v>
      </c>
      <c r="E39" s="85" t="s">
        <v>14</v>
      </c>
      <c r="F39" s="85" t="s">
        <v>244</v>
      </c>
      <c r="G39" s="85" t="s">
        <v>245</v>
      </c>
      <c r="H39" s="85" t="s">
        <v>45</v>
      </c>
      <c r="I39" s="85" t="s">
        <v>241</v>
      </c>
      <c r="J39" s="87">
        <v>792</v>
      </c>
      <c r="K39" s="88">
        <v>42449</v>
      </c>
      <c r="L39" s="89" t="s">
        <v>19</v>
      </c>
      <c r="M39" s="85" t="s">
        <v>52</v>
      </c>
      <c r="N39" s="85" t="s">
        <v>15</v>
      </c>
      <c r="O39" s="90">
        <v>0</v>
      </c>
      <c r="P39" s="91"/>
    </row>
    <row r="40" spans="1:16">
      <c r="A40" s="41" t="s">
        <v>628</v>
      </c>
      <c r="B40" s="95" t="s">
        <v>16</v>
      </c>
      <c r="C40" s="85" t="s">
        <v>0</v>
      </c>
      <c r="D40" s="85" t="s">
        <v>60</v>
      </c>
      <c r="E40" s="85" t="s">
        <v>14</v>
      </c>
      <c r="F40" s="85" t="s">
        <v>367</v>
      </c>
      <c r="G40" s="85" t="s">
        <v>633</v>
      </c>
      <c r="H40" s="85" t="s">
        <v>45</v>
      </c>
      <c r="I40" s="85" t="s">
        <v>630</v>
      </c>
      <c r="J40" s="87">
        <v>1614</v>
      </c>
      <c r="K40" s="88">
        <v>43271</v>
      </c>
      <c r="L40" s="89"/>
      <c r="M40" s="85" t="s">
        <v>52</v>
      </c>
      <c r="N40" s="85" t="s">
        <v>15</v>
      </c>
      <c r="O40" s="90">
        <v>0</v>
      </c>
      <c r="P40" s="91">
        <v>0.03</v>
      </c>
    </row>
    <row r="41" spans="1:16">
      <c r="A41" s="41" t="s">
        <v>615</v>
      </c>
      <c r="B41" s="95" t="s">
        <v>16</v>
      </c>
      <c r="C41" s="85" t="s">
        <v>0</v>
      </c>
      <c r="D41" s="85" t="s">
        <v>60</v>
      </c>
      <c r="E41" s="85" t="s">
        <v>14</v>
      </c>
      <c r="F41" s="85" t="s">
        <v>108</v>
      </c>
      <c r="G41" s="85" t="s">
        <v>616</v>
      </c>
      <c r="H41" s="85" t="s">
        <v>45</v>
      </c>
      <c r="I41" s="85" t="s">
        <v>617</v>
      </c>
      <c r="J41" s="87">
        <v>1614</v>
      </c>
      <c r="K41" s="88">
        <v>43271</v>
      </c>
      <c r="L41" s="89"/>
      <c r="M41" s="85" t="s">
        <v>20</v>
      </c>
      <c r="N41" s="85" t="s">
        <v>15</v>
      </c>
      <c r="O41" s="90">
        <v>0</v>
      </c>
      <c r="P41" s="91">
        <v>0.05</v>
      </c>
    </row>
    <row r="42" spans="1:16">
      <c r="A42" s="41" t="s">
        <v>615</v>
      </c>
      <c r="B42" s="95" t="s">
        <v>16</v>
      </c>
      <c r="C42" s="85" t="s">
        <v>0</v>
      </c>
      <c r="D42" s="85" t="s">
        <v>60</v>
      </c>
      <c r="E42" s="85" t="s">
        <v>14</v>
      </c>
      <c r="F42" s="85" t="s">
        <v>368</v>
      </c>
      <c r="G42" s="85" t="s">
        <v>618</v>
      </c>
      <c r="H42" s="85" t="s">
        <v>45</v>
      </c>
      <c r="I42" s="85" t="s">
        <v>617</v>
      </c>
      <c r="J42" s="87">
        <v>1979</v>
      </c>
      <c r="K42" s="88">
        <v>43636</v>
      </c>
      <c r="L42" s="89"/>
      <c r="M42" s="85" t="s">
        <v>21</v>
      </c>
      <c r="N42" s="85" t="s">
        <v>15</v>
      </c>
      <c r="O42" s="90">
        <v>0</v>
      </c>
      <c r="P42" s="91">
        <v>0.05</v>
      </c>
    </row>
    <row r="43" spans="1:16" ht="26.25">
      <c r="A43" s="41" t="s">
        <v>246</v>
      </c>
      <c r="B43" s="95" t="s">
        <v>12</v>
      </c>
      <c r="C43" s="85" t="s">
        <v>137</v>
      </c>
      <c r="D43" s="85" t="s">
        <v>66</v>
      </c>
      <c r="E43" s="85" t="s">
        <v>14</v>
      </c>
      <c r="F43" s="85" t="s">
        <v>247</v>
      </c>
      <c r="G43" s="85" t="s">
        <v>248</v>
      </c>
      <c r="H43" s="85" t="s">
        <v>45</v>
      </c>
      <c r="I43" s="85" t="s">
        <v>249</v>
      </c>
      <c r="J43" s="87">
        <v>2</v>
      </c>
      <c r="K43" s="88">
        <v>41659</v>
      </c>
      <c r="L43" s="89" t="s">
        <v>19</v>
      </c>
      <c r="M43" s="85" t="s">
        <v>20</v>
      </c>
      <c r="N43" s="85" t="s">
        <v>15</v>
      </c>
      <c r="O43" s="90">
        <v>0</v>
      </c>
      <c r="P43" s="91"/>
    </row>
    <row r="44" spans="1:16" ht="26.25">
      <c r="A44" s="41" t="s">
        <v>246</v>
      </c>
      <c r="B44" s="95" t="s">
        <v>12</v>
      </c>
      <c r="C44" s="85" t="s">
        <v>0</v>
      </c>
      <c r="D44" s="85" t="s">
        <v>42</v>
      </c>
      <c r="E44" s="85" t="s">
        <v>14</v>
      </c>
      <c r="F44" s="85" t="s">
        <v>250</v>
      </c>
      <c r="G44" s="85" t="s">
        <v>251</v>
      </c>
      <c r="H44" s="85" t="s">
        <v>45</v>
      </c>
      <c r="I44" s="85" t="s">
        <v>249</v>
      </c>
      <c r="J44" s="87">
        <v>2</v>
      </c>
      <c r="K44" s="88">
        <v>41659</v>
      </c>
      <c r="L44" s="89" t="s">
        <v>19</v>
      </c>
      <c r="M44" s="85" t="s">
        <v>21</v>
      </c>
      <c r="N44" s="85" t="s">
        <v>15</v>
      </c>
      <c r="O44" s="90">
        <v>0</v>
      </c>
      <c r="P44" s="91"/>
    </row>
    <row r="45" spans="1:16">
      <c r="A45" s="41" t="s">
        <v>608</v>
      </c>
      <c r="B45" s="95" t="s">
        <v>16</v>
      </c>
      <c r="C45" s="85" t="s">
        <v>186</v>
      </c>
      <c r="D45" s="85" t="s">
        <v>66</v>
      </c>
      <c r="E45" s="85" t="s">
        <v>14</v>
      </c>
      <c r="F45" s="85" t="s">
        <v>359</v>
      </c>
      <c r="G45" s="85" t="s">
        <v>609</v>
      </c>
      <c r="H45" s="85" t="s">
        <v>45</v>
      </c>
      <c r="I45" s="85" t="s">
        <v>610</v>
      </c>
      <c r="J45" s="87">
        <v>1003</v>
      </c>
      <c r="K45" s="88">
        <v>42660</v>
      </c>
      <c r="L45" s="89"/>
      <c r="M45" s="85" t="s">
        <v>21</v>
      </c>
      <c r="N45" s="85" t="s">
        <v>15</v>
      </c>
      <c r="O45" s="90">
        <v>1E-3</v>
      </c>
      <c r="P45" s="91">
        <v>0.05</v>
      </c>
    </row>
    <row r="46" spans="1:16">
      <c r="A46" s="41" t="s">
        <v>638</v>
      </c>
      <c r="B46" s="95" t="s">
        <v>16</v>
      </c>
      <c r="C46" s="85" t="s">
        <v>137</v>
      </c>
      <c r="D46" s="85" t="s">
        <v>66</v>
      </c>
      <c r="E46" s="85" t="s">
        <v>14</v>
      </c>
      <c r="F46" s="85" t="s">
        <v>149</v>
      </c>
      <c r="G46" s="85" t="s">
        <v>639</v>
      </c>
      <c r="H46" s="85" t="s">
        <v>45</v>
      </c>
      <c r="I46" s="85" t="s">
        <v>640</v>
      </c>
      <c r="J46" s="87">
        <v>1562</v>
      </c>
      <c r="K46" s="88">
        <v>43219</v>
      </c>
      <c r="L46" s="89"/>
      <c r="M46" s="85" t="s">
        <v>21</v>
      </c>
      <c r="N46" s="85" t="s">
        <v>15</v>
      </c>
      <c r="O46" s="90">
        <v>0</v>
      </c>
      <c r="P46" s="91">
        <v>0.03</v>
      </c>
    </row>
    <row r="47" spans="1:16">
      <c r="A47" s="41" t="s">
        <v>638</v>
      </c>
      <c r="B47" s="95" t="s">
        <v>16</v>
      </c>
      <c r="C47" s="85" t="s">
        <v>137</v>
      </c>
      <c r="D47" s="85" t="s">
        <v>66</v>
      </c>
      <c r="E47" s="85" t="s">
        <v>14</v>
      </c>
      <c r="F47" s="85" t="s">
        <v>361</v>
      </c>
      <c r="G47" s="85" t="s">
        <v>641</v>
      </c>
      <c r="H47" s="85" t="s">
        <v>45</v>
      </c>
      <c r="I47" s="85" t="s">
        <v>640</v>
      </c>
      <c r="J47" s="87">
        <v>832</v>
      </c>
      <c r="K47" s="88">
        <v>42489</v>
      </c>
      <c r="L47" s="89"/>
      <c r="M47" s="85" t="s">
        <v>22</v>
      </c>
      <c r="N47" s="85" t="s">
        <v>15</v>
      </c>
      <c r="O47" s="90">
        <v>0</v>
      </c>
      <c r="P47" s="91">
        <v>0.02</v>
      </c>
    </row>
    <row r="48" spans="1:16">
      <c r="A48" s="41" t="s">
        <v>456</v>
      </c>
      <c r="B48" s="95" t="s">
        <v>16</v>
      </c>
      <c r="C48" s="85" t="s">
        <v>137</v>
      </c>
      <c r="D48" s="85" t="s">
        <v>42</v>
      </c>
      <c r="E48" s="85" t="s">
        <v>370</v>
      </c>
      <c r="F48" s="85" t="s">
        <v>108</v>
      </c>
      <c r="G48" s="85" t="s">
        <v>457</v>
      </c>
      <c r="H48" s="85" t="s">
        <v>132</v>
      </c>
      <c r="I48" s="85" t="s">
        <v>458</v>
      </c>
      <c r="J48" s="87">
        <v>1948</v>
      </c>
      <c r="K48" s="88">
        <v>43605</v>
      </c>
      <c r="L48" s="89"/>
      <c r="M48" s="85" t="s">
        <v>21</v>
      </c>
      <c r="N48" s="85" t="s">
        <v>2</v>
      </c>
      <c r="O48" s="90">
        <v>1E-3</v>
      </c>
      <c r="P48" s="91">
        <v>0.05</v>
      </c>
    </row>
    <row r="49" spans="1:16">
      <c r="A49" s="41" t="s">
        <v>453</v>
      </c>
      <c r="B49" s="95" t="s">
        <v>16</v>
      </c>
      <c r="C49" s="85" t="s">
        <v>137</v>
      </c>
      <c r="D49" s="85" t="s">
        <v>42</v>
      </c>
      <c r="E49" s="85" t="s">
        <v>14</v>
      </c>
      <c r="F49" s="85" t="s">
        <v>276</v>
      </c>
      <c r="G49" s="85" t="s">
        <v>454</v>
      </c>
      <c r="H49" s="85" t="s">
        <v>209</v>
      </c>
      <c r="I49" s="85" t="s">
        <v>455</v>
      </c>
      <c r="J49" s="87">
        <v>1948</v>
      </c>
      <c r="K49" s="88">
        <v>43605</v>
      </c>
      <c r="L49" s="89"/>
      <c r="M49" s="85" t="s">
        <v>52</v>
      </c>
      <c r="N49" s="85" t="s">
        <v>15</v>
      </c>
      <c r="O49" s="90">
        <v>1E-3</v>
      </c>
      <c r="P49" s="91">
        <v>0.05</v>
      </c>
    </row>
    <row r="50" spans="1:16">
      <c r="A50" s="41" t="s">
        <v>453</v>
      </c>
      <c r="B50" s="95" t="s">
        <v>16</v>
      </c>
      <c r="C50" s="85" t="s">
        <v>137</v>
      </c>
      <c r="D50" s="85" t="s">
        <v>42</v>
      </c>
      <c r="E50" s="85" t="s">
        <v>14</v>
      </c>
      <c r="F50" s="85" t="s">
        <v>113</v>
      </c>
      <c r="G50" s="85" t="s">
        <v>383</v>
      </c>
      <c r="H50" s="85" t="s">
        <v>209</v>
      </c>
      <c r="I50" s="85" t="s">
        <v>455</v>
      </c>
      <c r="J50" s="87">
        <v>1583</v>
      </c>
      <c r="K50" s="88">
        <v>43240</v>
      </c>
      <c r="L50" s="89"/>
      <c r="M50" s="85" t="s">
        <v>20</v>
      </c>
      <c r="N50" s="85" t="s">
        <v>15</v>
      </c>
      <c r="O50" s="90">
        <v>1E-3</v>
      </c>
      <c r="P50" s="91">
        <v>0.05</v>
      </c>
    </row>
    <row r="51" spans="1:16" ht="26.25">
      <c r="A51" s="41" t="s">
        <v>252</v>
      </c>
      <c r="B51" s="95" t="s">
        <v>12</v>
      </c>
      <c r="C51" s="85" t="s">
        <v>137</v>
      </c>
      <c r="D51" s="85" t="s">
        <v>54</v>
      </c>
      <c r="E51" s="85" t="s">
        <v>14</v>
      </c>
      <c r="F51" s="85" t="s">
        <v>99</v>
      </c>
      <c r="G51" s="85" t="s">
        <v>258</v>
      </c>
      <c r="H51" s="85" t="s">
        <v>45</v>
      </c>
      <c r="I51" s="85" t="s">
        <v>255</v>
      </c>
      <c r="J51" s="87">
        <v>1614</v>
      </c>
      <c r="K51" s="88">
        <v>43271</v>
      </c>
      <c r="L51" s="89" t="s">
        <v>19</v>
      </c>
      <c r="M51" s="85" t="s">
        <v>22</v>
      </c>
      <c r="N51" s="85" t="s">
        <v>15</v>
      </c>
      <c r="O51" s="90">
        <v>0</v>
      </c>
      <c r="P51" s="91"/>
    </row>
    <row r="52" spans="1:16" ht="26.25">
      <c r="A52" s="41" t="s">
        <v>252</v>
      </c>
      <c r="B52" s="95" t="s">
        <v>12</v>
      </c>
      <c r="C52" s="85" t="s">
        <v>137</v>
      </c>
      <c r="D52" s="85" t="s">
        <v>54</v>
      </c>
      <c r="E52" s="85" t="s">
        <v>14</v>
      </c>
      <c r="F52" s="85" t="s">
        <v>259</v>
      </c>
      <c r="G52" s="85" t="s">
        <v>260</v>
      </c>
      <c r="H52" s="85" t="s">
        <v>45</v>
      </c>
      <c r="I52" s="85" t="s">
        <v>255</v>
      </c>
      <c r="J52" s="87">
        <v>2345</v>
      </c>
      <c r="K52" s="88">
        <v>44002</v>
      </c>
      <c r="L52" s="89" t="s">
        <v>19</v>
      </c>
      <c r="M52" s="85" t="s">
        <v>52</v>
      </c>
      <c r="N52" s="85" t="s">
        <v>15</v>
      </c>
      <c r="O52" s="90">
        <v>0</v>
      </c>
      <c r="P52" s="91"/>
    </row>
    <row r="53" spans="1:16">
      <c r="A53" s="41" t="s">
        <v>611</v>
      </c>
      <c r="B53" s="95" t="s">
        <v>16</v>
      </c>
      <c r="C53" s="85" t="s">
        <v>137</v>
      </c>
      <c r="D53" s="85" t="s">
        <v>66</v>
      </c>
      <c r="E53" s="85" t="s">
        <v>14</v>
      </c>
      <c r="F53" s="85" t="s">
        <v>49</v>
      </c>
      <c r="G53" s="85" t="s">
        <v>612</v>
      </c>
      <c r="H53" s="85" t="s">
        <v>45</v>
      </c>
      <c r="I53" s="85" t="s">
        <v>613</v>
      </c>
      <c r="J53" s="87">
        <v>1249</v>
      </c>
      <c r="K53" s="88">
        <v>42906</v>
      </c>
      <c r="L53" s="89"/>
      <c r="M53" s="85" t="s">
        <v>22</v>
      </c>
      <c r="N53" s="85" t="s">
        <v>15</v>
      </c>
      <c r="O53" s="90">
        <v>0</v>
      </c>
      <c r="P53" s="91">
        <v>0.05</v>
      </c>
    </row>
    <row r="54" spans="1:16">
      <c r="A54" s="41" t="s">
        <v>611</v>
      </c>
      <c r="B54" s="95" t="s">
        <v>16</v>
      </c>
      <c r="C54" s="85" t="s">
        <v>137</v>
      </c>
      <c r="D54" s="85" t="s">
        <v>66</v>
      </c>
      <c r="E54" s="85" t="s">
        <v>14</v>
      </c>
      <c r="F54" s="85" t="s">
        <v>378</v>
      </c>
      <c r="G54" s="85" t="s">
        <v>614</v>
      </c>
      <c r="H54" s="85" t="s">
        <v>45</v>
      </c>
      <c r="I54" s="85" t="s">
        <v>613</v>
      </c>
      <c r="J54" s="87">
        <v>1249</v>
      </c>
      <c r="K54" s="88">
        <v>42906</v>
      </c>
      <c r="L54" s="89"/>
      <c r="M54" s="85" t="s">
        <v>52</v>
      </c>
      <c r="N54" s="85" t="s">
        <v>15</v>
      </c>
      <c r="O54" s="90">
        <v>0</v>
      </c>
      <c r="P54" s="91">
        <v>0.05</v>
      </c>
    </row>
    <row r="55" spans="1:16">
      <c r="A55" s="41" t="s">
        <v>93</v>
      </c>
      <c r="B55" s="95" t="s">
        <v>16</v>
      </c>
      <c r="C55" s="85" t="s">
        <v>186</v>
      </c>
      <c r="D55" s="85" t="s">
        <v>66</v>
      </c>
      <c r="E55" s="85" t="s">
        <v>14</v>
      </c>
      <c r="F55" s="85" t="s">
        <v>99</v>
      </c>
      <c r="G55" s="85" t="s">
        <v>100</v>
      </c>
      <c r="H55" s="85" t="s">
        <v>45</v>
      </c>
      <c r="I55" s="85" t="s">
        <v>96</v>
      </c>
      <c r="J55" s="87">
        <v>1323</v>
      </c>
      <c r="K55" s="88">
        <v>42980</v>
      </c>
      <c r="L55" s="89"/>
      <c r="M55" s="85" t="s">
        <v>20</v>
      </c>
      <c r="N55" s="85" t="s">
        <v>15</v>
      </c>
      <c r="O55" s="90">
        <v>1E-3</v>
      </c>
      <c r="P55" s="91">
        <v>0.05</v>
      </c>
    </row>
    <row r="56" spans="1:16">
      <c r="A56" s="41" t="s">
        <v>93</v>
      </c>
      <c r="B56" s="95" t="s">
        <v>16</v>
      </c>
      <c r="C56" s="85" t="s">
        <v>186</v>
      </c>
      <c r="D56" s="85" t="s">
        <v>66</v>
      </c>
      <c r="E56" s="85" t="s">
        <v>14</v>
      </c>
      <c r="F56" s="85" t="s">
        <v>101</v>
      </c>
      <c r="G56" s="85" t="s">
        <v>102</v>
      </c>
      <c r="H56" s="85" t="s">
        <v>45</v>
      </c>
      <c r="I56" s="85" t="s">
        <v>96</v>
      </c>
      <c r="J56" s="87">
        <v>1688</v>
      </c>
      <c r="K56" s="88">
        <v>43345</v>
      </c>
      <c r="L56" s="89"/>
      <c r="M56" s="85" t="s">
        <v>21</v>
      </c>
      <c r="N56" s="85" t="s">
        <v>15</v>
      </c>
      <c r="O56" s="90">
        <v>1E-3</v>
      </c>
      <c r="P56" s="91">
        <v>0.05</v>
      </c>
    </row>
    <row r="57" spans="1:16" ht="26.25">
      <c r="A57" s="41" t="s">
        <v>112</v>
      </c>
      <c r="B57" s="95" t="s">
        <v>12</v>
      </c>
      <c r="C57" s="85" t="s">
        <v>0</v>
      </c>
      <c r="D57" s="85" t="s">
        <v>54</v>
      </c>
      <c r="E57" s="85" t="s">
        <v>14</v>
      </c>
      <c r="F57" s="85" t="s">
        <v>113</v>
      </c>
      <c r="G57" s="85" t="s">
        <v>114</v>
      </c>
      <c r="H57" s="85" t="s">
        <v>45</v>
      </c>
      <c r="I57" s="85" t="s">
        <v>115</v>
      </c>
      <c r="J57" s="87">
        <v>1</v>
      </c>
      <c r="K57" s="88">
        <v>41658</v>
      </c>
      <c r="L57" s="89" t="s">
        <v>19</v>
      </c>
      <c r="M57" s="85" t="s">
        <v>20</v>
      </c>
      <c r="N57" s="85" t="s">
        <v>15</v>
      </c>
      <c r="O57" s="90">
        <v>1E-3</v>
      </c>
      <c r="P57" s="91"/>
    </row>
    <row r="58" spans="1:16" ht="26.25">
      <c r="A58" s="41" t="s">
        <v>112</v>
      </c>
      <c r="B58" s="95" t="s">
        <v>12</v>
      </c>
      <c r="C58" s="85" t="s">
        <v>0</v>
      </c>
      <c r="D58" s="85" t="s">
        <v>54</v>
      </c>
      <c r="E58" s="85" t="s">
        <v>14</v>
      </c>
      <c r="F58" s="85" t="s">
        <v>116</v>
      </c>
      <c r="G58" s="85" t="s">
        <v>117</v>
      </c>
      <c r="H58" s="85" t="s">
        <v>45</v>
      </c>
      <c r="I58" s="85" t="s">
        <v>115</v>
      </c>
      <c r="J58" s="87">
        <v>1</v>
      </c>
      <c r="K58" s="88">
        <v>41658</v>
      </c>
      <c r="L58" s="89" t="s">
        <v>19</v>
      </c>
      <c r="M58" s="85" t="s">
        <v>21</v>
      </c>
      <c r="N58" s="85" t="s">
        <v>15</v>
      </c>
      <c r="O58" s="90">
        <v>1E-3</v>
      </c>
      <c r="P58" s="91"/>
    </row>
    <row r="59" spans="1:16">
      <c r="A59" s="41" t="s">
        <v>492</v>
      </c>
      <c r="B59" s="95" t="s">
        <v>16</v>
      </c>
      <c r="C59" s="85" t="s">
        <v>0</v>
      </c>
      <c r="D59" s="85" t="s">
        <v>66</v>
      </c>
      <c r="E59" s="85" t="s">
        <v>295</v>
      </c>
      <c r="F59" s="85" t="s">
        <v>47</v>
      </c>
      <c r="G59" s="85" t="s">
        <v>493</v>
      </c>
      <c r="H59" s="85" t="s">
        <v>80</v>
      </c>
      <c r="I59" s="85" t="s">
        <v>494</v>
      </c>
      <c r="J59" s="87">
        <v>1</v>
      </c>
      <c r="K59" s="88">
        <v>41658</v>
      </c>
      <c r="L59" s="89"/>
      <c r="M59" s="85" t="s">
        <v>21</v>
      </c>
      <c r="N59" s="85" t="s">
        <v>668</v>
      </c>
      <c r="O59" s="90">
        <v>1E-3</v>
      </c>
      <c r="P59" s="91">
        <v>0.05</v>
      </c>
    </row>
    <row r="60" spans="1:16">
      <c r="A60" s="41" t="s">
        <v>675</v>
      </c>
      <c r="B60" s="95" t="s">
        <v>16</v>
      </c>
      <c r="C60" s="85" t="s">
        <v>137</v>
      </c>
      <c r="D60" s="85" t="s">
        <v>66</v>
      </c>
      <c r="E60" s="85" t="s">
        <v>14</v>
      </c>
      <c r="F60" s="85" t="s">
        <v>70</v>
      </c>
      <c r="G60" s="85" t="s">
        <v>568</v>
      </c>
      <c r="H60" s="85" t="s">
        <v>45</v>
      </c>
      <c r="I60" s="85" t="s">
        <v>569</v>
      </c>
      <c r="J60" s="87">
        <v>1101</v>
      </c>
      <c r="K60" s="88">
        <v>42758</v>
      </c>
      <c r="L60" s="89"/>
      <c r="M60" s="85" t="s">
        <v>22</v>
      </c>
      <c r="N60" s="85" t="s">
        <v>15</v>
      </c>
      <c r="O60" s="90">
        <v>1E-3</v>
      </c>
      <c r="P60" s="91">
        <v>0.05</v>
      </c>
    </row>
    <row r="61" spans="1:16" ht="26.25">
      <c r="A61" s="41" t="s">
        <v>65</v>
      </c>
      <c r="B61" s="95" t="s">
        <v>12</v>
      </c>
      <c r="C61" s="85" t="s">
        <v>137</v>
      </c>
      <c r="D61" s="85" t="s">
        <v>66</v>
      </c>
      <c r="E61" s="85" t="s">
        <v>14</v>
      </c>
      <c r="F61" s="85" t="s">
        <v>49</v>
      </c>
      <c r="G61" s="85" t="s">
        <v>67</v>
      </c>
      <c r="H61" s="85" t="s">
        <v>45</v>
      </c>
      <c r="I61" s="85" t="s">
        <v>68</v>
      </c>
      <c r="J61" s="87">
        <v>1645</v>
      </c>
      <c r="K61" s="88">
        <v>43302</v>
      </c>
      <c r="L61" s="89" t="s">
        <v>19</v>
      </c>
      <c r="M61" s="85" t="s">
        <v>22</v>
      </c>
      <c r="N61" s="85" t="s">
        <v>15</v>
      </c>
      <c r="O61" s="90">
        <v>1E-3</v>
      </c>
      <c r="P61" s="91"/>
    </row>
    <row r="62" spans="1:16">
      <c r="A62" s="41" t="s">
        <v>646</v>
      </c>
      <c r="B62" s="95" t="s">
        <v>16</v>
      </c>
      <c r="C62" s="85" t="s">
        <v>0</v>
      </c>
      <c r="D62" s="85" t="s">
        <v>66</v>
      </c>
      <c r="E62" s="85" t="s">
        <v>14</v>
      </c>
      <c r="F62" s="85" t="s">
        <v>82</v>
      </c>
      <c r="G62" s="85" t="s">
        <v>647</v>
      </c>
      <c r="H62" s="85" t="s">
        <v>45</v>
      </c>
      <c r="I62" s="85" t="s">
        <v>648</v>
      </c>
      <c r="J62" s="87">
        <v>1249</v>
      </c>
      <c r="K62" s="88">
        <v>42906</v>
      </c>
      <c r="L62" s="89"/>
      <c r="M62" s="85" t="s">
        <v>21</v>
      </c>
      <c r="N62" s="85" t="s">
        <v>15</v>
      </c>
      <c r="O62" s="90">
        <v>0</v>
      </c>
      <c r="P62" s="91">
        <v>0.02</v>
      </c>
    </row>
    <row r="63" spans="1:16" ht="26.25">
      <c r="A63" s="41" t="s">
        <v>322</v>
      </c>
      <c r="B63" s="95" t="s">
        <v>12</v>
      </c>
      <c r="C63" s="85" t="s">
        <v>364</v>
      </c>
      <c r="D63" s="85" t="s">
        <v>66</v>
      </c>
      <c r="E63" s="85" t="s">
        <v>14</v>
      </c>
      <c r="F63" s="85" t="s">
        <v>323</v>
      </c>
      <c r="G63" s="93" t="s">
        <v>324</v>
      </c>
      <c r="H63" s="85" t="s">
        <v>45</v>
      </c>
      <c r="I63" s="85" t="s">
        <v>325</v>
      </c>
      <c r="J63" s="87">
        <v>749</v>
      </c>
      <c r="K63" s="88">
        <v>42406</v>
      </c>
      <c r="L63" s="89" t="s">
        <v>19</v>
      </c>
      <c r="M63" s="85" t="s">
        <v>21</v>
      </c>
      <c r="N63" s="85" t="s">
        <v>15</v>
      </c>
      <c r="O63" s="90">
        <v>0</v>
      </c>
      <c r="P63" s="91"/>
    </row>
    <row r="64" spans="1:16" ht="26.25">
      <c r="A64" s="41" t="s">
        <v>328</v>
      </c>
      <c r="B64" s="95" t="s">
        <v>12</v>
      </c>
      <c r="C64" s="85" t="s">
        <v>186</v>
      </c>
      <c r="D64" s="85" t="s">
        <v>66</v>
      </c>
      <c r="E64" s="85" t="s">
        <v>61</v>
      </c>
      <c r="F64" s="85" t="s">
        <v>323</v>
      </c>
      <c r="G64" s="96" t="s">
        <v>688</v>
      </c>
      <c r="H64" s="85" t="s">
        <v>188</v>
      </c>
      <c r="I64" s="85" t="s">
        <v>331</v>
      </c>
      <c r="J64" s="87">
        <v>749</v>
      </c>
      <c r="K64" s="88">
        <v>42406</v>
      </c>
      <c r="L64" s="89" t="s">
        <v>19</v>
      </c>
      <c r="M64" s="85" t="s">
        <v>52</v>
      </c>
      <c r="N64" s="85" t="s">
        <v>660</v>
      </c>
      <c r="O64" s="90">
        <v>0</v>
      </c>
      <c r="P64" s="91"/>
    </row>
    <row r="65" spans="1:16" ht="26.25">
      <c r="A65" s="41" t="s">
        <v>322</v>
      </c>
      <c r="B65" s="95" t="s">
        <v>12</v>
      </c>
      <c r="C65" s="85" t="s">
        <v>364</v>
      </c>
      <c r="D65" s="85" t="s">
        <v>66</v>
      </c>
      <c r="E65" s="85" t="s">
        <v>14</v>
      </c>
      <c r="F65" s="85" t="s">
        <v>326</v>
      </c>
      <c r="G65" s="96" t="s">
        <v>689</v>
      </c>
      <c r="H65" s="85" t="s">
        <v>45</v>
      </c>
      <c r="I65" s="85" t="s">
        <v>325</v>
      </c>
      <c r="J65" s="87">
        <v>749</v>
      </c>
      <c r="K65" s="88">
        <v>42406</v>
      </c>
      <c r="L65" s="89" t="s">
        <v>19</v>
      </c>
      <c r="M65" s="85" t="s">
        <v>22</v>
      </c>
      <c r="N65" s="85" t="s">
        <v>15</v>
      </c>
      <c r="O65" s="90">
        <v>0</v>
      </c>
      <c r="P65" s="91"/>
    </row>
    <row r="66" spans="1:16" ht="26.25">
      <c r="A66" s="41" t="s">
        <v>328</v>
      </c>
      <c r="B66" s="95" t="s">
        <v>12</v>
      </c>
      <c r="C66" s="85" t="s">
        <v>186</v>
      </c>
      <c r="D66" s="85" t="s">
        <v>66</v>
      </c>
      <c r="E66" s="85" t="s">
        <v>61</v>
      </c>
      <c r="F66" s="85" t="s">
        <v>326</v>
      </c>
      <c r="G66" s="86" t="s">
        <v>687</v>
      </c>
      <c r="H66" s="85" t="s">
        <v>188</v>
      </c>
      <c r="I66" s="85" t="s">
        <v>331</v>
      </c>
      <c r="J66" s="87">
        <v>749</v>
      </c>
      <c r="K66" s="88">
        <v>42406</v>
      </c>
      <c r="L66" s="89" t="s">
        <v>19</v>
      </c>
      <c r="M66" s="85" t="s">
        <v>20</v>
      </c>
      <c r="N66" s="85" t="s">
        <v>660</v>
      </c>
      <c r="O66" s="90">
        <v>0</v>
      </c>
      <c r="P66" s="91"/>
    </row>
    <row r="67" spans="1:16" ht="26.25">
      <c r="A67" s="41" t="s">
        <v>322</v>
      </c>
      <c r="B67" s="95" t="s">
        <v>12</v>
      </c>
      <c r="C67" s="85" t="s">
        <v>364</v>
      </c>
      <c r="D67" s="85" t="s">
        <v>66</v>
      </c>
      <c r="E67" s="85" t="s">
        <v>14</v>
      </c>
      <c r="F67" s="85" t="s">
        <v>327</v>
      </c>
      <c r="G67" s="93" t="s">
        <v>690</v>
      </c>
      <c r="H67" s="85" t="s">
        <v>45</v>
      </c>
      <c r="I67" s="85" t="s">
        <v>325</v>
      </c>
      <c r="J67" s="87">
        <v>1479</v>
      </c>
      <c r="K67" s="88">
        <v>43136</v>
      </c>
      <c r="L67" s="89" t="s">
        <v>19</v>
      </c>
      <c r="M67" s="85" t="s">
        <v>52</v>
      </c>
      <c r="N67" s="85" t="s">
        <v>15</v>
      </c>
      <c r="O67" s="90">
        <v>0</v>
      </c>
      <c r="P67" s="91"/>
    </row>
    <row r="68" spans="1:16" ht="26.25">
      <c r="A68" s="41" t="s">
        <v>328</v>
      </c>
      <c r="B68" s="95" t="s">
        <v>12</v>
      </c>
      <c r="C68" s="85" t="s">
        <v>186</v>
      </c>
      <c r="D68" s="85" t="s">
        <v>66</v>
      </c>
      <c r="E68" s="85" t="s">
        <v>61</v>
      </c>
      <c r="F68" s="85" t="s">
        <v>327</v>
      </c>
      <c r="G68" s="93" t="s">
        <v>691</v>
      </c>
      <c r="H68" s="85" t="s">
        <v>188</v>
      </c>
      <c r="I68" s="85" t="s">
        <v>331</v>
      </c>
      <c r="J68" s="87">
        <v>1479</v>
      </c>
      <c r="K68" s="88">
        <v>43136</v>
      </c>
      <c r="L68" s="89" t="s">
        <v>19</v>
      </c>
      <c r="M68" s="85" t="s">
        <v>21</v>
      </c>
      <c r="N68" s="85" t="s">
        <v>660</v>
      </c>
      <c r="O68" s="90">
        <v>0</v>
      </c>
      <c r="P68" s="91"/>
    </row>
    <row r="69" spans="1:16" ht="26.25">
      <c r="A69" s="41" t="s">
        <v>333</v>
      </c>
      <c r="B69" s="95" t="s">
        <v>12</v>
      </c>
      <c r="C69" s="85" t="s">
        <v>186</v>
      </c>
      <c r="D69" s="85" t="s">
        <v>66</v>
      </c>
      <c r="E69" s="85" t="s">
        <v>61</v>
      </c>
      <c r="F69" s="85" t="s">
        <v>326</v>
      </c>
      <c r="G69" s="93" t="s">
        <v>692</v>
      </c>
      <c r="H69" s="85" t="s">
        <v>188</v>
      </c>
      <c r="I69" s="85" t="s">
        <v>334</v>
      </c>
      <c r="J69" s="87">
        <v>749</v>
      </c>
      <c r="K69" s="88">
        <v>42406</v>
      </c>
      <c r="L69" s="89" t="s">
        <v>19</v>
      </c>
      <c r="M69" s="85" t="s">
        <v>20</v>
      </c>
      <c r="N69" s="85" t="s">
        <v>660</v>
      </c>
      <c r="O69" s="90">
        <v>0</v>
      </c>
      <c r="P69" s="91"/>
    </row>
    <row r="70" spans="1:16" ht="26.25">
      <c r="A70" s="41" t="s">
        <v>333</v>
      </c>
      <c r="B70" s="95" t="s">
        <v>12</v>
      </c>
      <c r="C70" s="85" t="s">
        <v>186</v>
      </c>
      <c r="D70" s="85" t="s">
        <v>66</v>
      </c>
      <c r="E70" s="85" t="s">
        <v>61</v>
      </c>
      <c r="F70" s="85" t="s">
        <v>327</v>
      </c>
      <c r="G70" s="93" t="s">
        <v>693</v>
      </c>
      <c r="H70" s="85" t="s">
        <v>188</v>
      </c>
      <c r="I70" s="85" t="s">
        <v>334</v>
      </c>
      <c r="J70" s="87">
        <v>1479</v>
      </c>
      <c r="K70" s="88">
        <v>43136</v>
      </c>
      <c r="L70" s="89" t="s">
        <v>19</v>
      </c>
      <c r="M70" s="85" t="s">
        <v>21</v>
      </c>
      <c r="N70" s="85" t="s">
        <v>660</v>
      </c>
      <c r="O70" s="90">
        <v>0</v>
      </c>
      <c r="P70" s="91"/>
    </row>
    <row r="71" spans="1:16" ht="26.25">
      <c r="A71" s="41" t="s">
        <v>333</v>
      </c>
      <c r="B71" s="95" t="s">
        <v>12</v>
      </c>
      <c r="C71" s="85" t="s">
        <v>186</v>
      </c>
      <c r="D71" s="85" t="s">
        <v>66</v>
      </c>
      <c r="E71" s="85" t="s">
        <v>61</v>
      </c>
      <c r="F71" s="85" t="s">
        <v>323</v>
      </c>
      <c r="G71" s="93" t="s">
        <v>694</v>
      </c>
      <c r="H71" s="85" t="s">
        <v>188</v>
      </c>
      <c r="I71" s="85" t="s">
        <v>334</v>
      </c>
      <c r="J71" s="87">
        <v>749</v>
      </c>
      <c r="K71" s="88">
        <v>42406</v>
      </c>
      <c r="L71" s="89" t="s">
        <v>19</v>
      </c>
      <c r="M71" s="85" t="s">
        <v>22</v>
      </c>
      <c r="N71" s="85" t="s">
        <v>660</v>
      </c>
      <c r="O71" s="90">
        <v>0</v>
      </c>
      <c r="P71" s="91"/>
    </row>
    <row r="72" spans="1:16" ht="26.25">
      <c r="A72" s="41" t="s">
        <v>226</v>
      </c>
      <c r="B72" s="95" t="s">
        <v>12</v>
      </c>
      <c r="C72" s="85" t="s">
        <v>0</v>
      </c>
      <c r="D72" s="85" t="s">
        <v>66</v>
      </c>
      <c r="E72" s="85" t="s">
        <v>14</v>
      </c>
      <c r="F72" s="85" t="s">
        <v>119</v>
      </c>
      <c r="G72" s="85" t="s">
        <v>230</v>
      </c>
      <c r="H72" s="85" t="s">
        <v>45</v>
      </c>
      <c r="I72" s="85" t="s">
        <v>229</v>
      </c>
      <c r="J72" s="87">
        <v>1553</v>
      </c>
      <c r="K72" s="88">
        <v>43210</v>
      </c>
      <c r="L72" s="89" t="s">
        <v>19</v>
      </c>
      <c r="M72" s="85" t="s">
        <v>20</v>
      </c>
      <c r="N72" s="85" t="s">
        <v>15</v>
      </c>
      <c r="O72" s="90">
        <v>0</v>
      </c>
      <c r="P72" s="91"/>
    </row>
    <row r="73" spans="1:16" ht="26.25">
      <c r="A73" s="41" t="s">
        <v>168</v>
      </c>
      <c r="B73" s="95" t="s">
        <v>12</v>
      </c>
      <c r="C73" s="85" t="s">
        <v>137</v>
      </c>
      <c r="D73" s="85" t="s">
        <v>42</v>
      </c>
      <c r="E73" s="85" t="s">
        <v>14</v>
      </c>
      <c r="F73" s="85" t="s">
        <v>173</v>
      </c>
      <c r="G73" s="85" t="s">
        <v>174</v>
      </c>
      <c r="H73" s="85" t="s">
        <v>45</v>
      </c>
      <c r="I73" s="85" t="s">
        <v>170</v>
      </c>
      <c r="J73" s="87">
        <v>2345</v>
      </c>
      <c r="K73" s="88">
        <v>44002</v>
      </c>
      <c r="L73" s="89" t="s">
        <v>19</v>
      </c>
      <c r="M73" s="85" t="s">
        <v>52</v>
      </c>
      <c r="N73" s="85" t="s">
        <v>15</v>
      </c>
      <c r="O73" s="90">
        <v>1E-3</v>
      </c>
      <c r="P73" s="91"/>
    </row>
    <row r="74" spans="1:16" ht="26.25">
      <c r="A74" s="41" t="s">
        <v>168</v>
      </c>
      <c r="B74" s="95" t="s">
        <v>12</v>
      </c>
      <c r="C74" s="85" t="s">
        <v>137</v>
      </c>
      <c r="D74" s="85" t="s">
        <v>42</v>
      </c>
      <c r="E74" s="85" t="s">
        <v>14</v>
      </c>
      <c r="F74" s="85" t="s">
        <v>151</v>
      </c>
      <c r="G74" s="85" t="s">
        <v>175</v>
      </c>
      <c r="H74" s="85" t="s">
        <v>45</v>
      </c>
      <c r="I74" s="85" t="s">
        <v>170</v>
      </c>
      <c r="J74" s="87">
        <v>1979</v>
      </c>
      <c r="K74" s="88">
        <v>43636</v>
      </c>
      <c r="L74" s="89" t="s">
        <v>19</v>
      </c>
      <c r="M74" s="85" t="s">
        <v>21</v>
      </c>
      <c r="N74" s="85" t="s">
        <v>15</v>
      </c>
      <c r="O74" s="90">
        <v>1E-3</v>
      </c>
      <c r="P74" s="91"/>
    </row>
    <row r="75" spans="1:16">
      <c r="A75" s="41" t="s">
        <v>442</v>
      </c>
      <c r="B75" s="95" t="s">
        <v>16</v>
      </c>
      <c r="C75" s="85" t="s">
        <v>0</v>
      </c>
      <c r="D75" s="85" t="s">
        <v>54</v>
      </c>
      <c r="E75" s="85" t="s">
        <v>14</v>
      </c>
      <c r="F75" s="85" t="s">
        <v>183</v>
      </c>
      <c r="G75" s="85" t="s">
        <v>447</v>
      </c>
      <c r="H75" s="85" t="s">
        <v>45</v>
      </c>
      <c r="I75" s="85" t="s">
        <v>444</v>
      </c>
      <c r="J75" s="87">
        <v>2345</v>
      </c>
      <c r="K75" s="88">
        <v>44002</v>
      </c>
      <c r="L75" s="89"/>
      <c r="M75" s="85" t="s">
        <v>21</v>
      </c>
      <c r="N75" s="85" t="s">
        <v>15</v>
      </c>
      <c r="O75" s="90">
        <v>1E-3</v>
      </c>
      <c r="P75" s="91">
        <v>0.05</v>
      </c>
    </row>
    <row r="76" spans="1:16">
      <c r="A76" s="41" t="s">
        <v>442</v>
      </c>
      <c r="B76" s="95" t="s">
        <v>16</v>
      </c>
      <c r="C76" s="85" t="s">
        <v>0</v>
      </c>
      <c r="D76" s="85" t="s">
        <v>54</v>
      </c>
      <c r="E76" s="85" t="s">
        <v>14</v>
      </c>
      <c r="F76" s="85" t="s">
        <v>196</v>
      </c>
      <c r="G76" s="85" t="s">
        <v>448</v>
      </c>
      <c r="H76" s="85" t="s">
        <v>45</v>
      </c>
      <c r="I76" s="85" t="s">
        <v>444</v>
      </c>
      <c r="J76" s="87">
        <v>1979</v>
      </c>
      <c r="K76" s="88">
        <v>43636</v>
      </c>
      <c r="L76" s="89"/>
      <c r="M76" s="85" t="s">
        <v>20</v>
      </c>
      <c r="N76" s="85" t="s">
        <v>15</v>
      </c>
      <c r="O76" s="90">
        <v>1E-3</v>
      </c>
      <c r="P76" s="91">
        <v>0.05</v>
      </c>
    </row>
    <row r="77" spans="1:16" ht="26.25">
      <c r="A77" s="41" t="s">
        <v>41</v>
      </c>
      <c r="B77" s="95" t="s">
        <v>12</v>
      </c>
      <c r="C77" s="85" t="s">
        <v>0</v>
      </c>
      <c r="D77" s="85" t="s">
        <v>42</v>
      </c>
      <c r="E77" s="85" t="s">
        <v>14</v>
      </c>
      <c r="F77" s="85" t="s">
        <v>49</v>
      </c>
      <c r="G77" s="85" t="s">
        <v>50</v>
      </c>
      <c r="H77" s="85" t="s">
        <v>45</v>
      </c>
      <c r="I77" s="85" t="s">
        <v>46</v>
      </c>
      <c r="J77" s="87">
        <v>1979</v>
      </c>
      <c r="K77" s="88">
        <v>43636</v>
      </c>
      <c r="L77" s="89" t="s">
        <v>19</v>
      </c>
      <c r="M77" s="85" t="s">
        <v>22</v>
      </c>
      <c r="N77" s="85" t="s">
        <v>15</v>
      </c>
      <c r="O77" s="90">
        <v>1E-3</v>
      </c>
      <c r="P77" s="91"/>
    </row>
    <row r="78" spans="1:16" ht="26.25">
      <c r="A78" s="41" t="s">
        <v>41</v>
      </c>
      <c r="B78" s="95" t="s">
        <v>12</v>
      </c>
      <c r="C78" s="85" t="s">
        <v>0</v>
      </c>
      <c r="D78" s="85" t="s">
        <v>42</v>
      </c>
      <c r="E78" s="85" t="s">
        <v>14</v>
      </c>
      <c r="F78" s="85" t="s">
        <v>43</v>
      </c>
      <c r="G78" s="85" t="s">
        <v>51</v>
      </c>
      <c r="H78" s="85" t="s">
        <v>45</v>
      </c>
      <c r="I78" s="85" t="s">
        <v>46</v>
      </c>
      <c r="J78" s="87">
        <v>2345</v>
      </c>
      <c r="K78" s="88">
        <v>44002</v>
      </c>
      <c r="L78" s="89" t="s">
        <v>19</v>
      </c>
      <c r="M78" s="85" t="s">
        <v>52</v>
      </c>
      <c r="N78" s="85" t="s">
        <v>15</v>
      </c>
      <c r="O78" s="90">
        <v>0</v>
      </c>
      <c r="P78" s="91"/>
    </row>
    <row r="79" spans="1:16">
      <c r="A79" s="41" t="s">
        <v>594</v>
      </c>
      <c r="B79" s="95" t="s">
        <v>16</v>
      </c>
      <c r="C79" s="85" t="s">
        <v>137</v>
      </c>
      <c r="D79" s="85" t="s">
        <v>66</v>
      </c>
      <c r="E79" s="85" t="s">
        <v>14</v>
      </c>
      <c r="F79" s="85" t="s">
        <v>360</v>
      </c>
      <c r="G79" s="85" t="s">
        <v>605</v>
      </c>
      <c r="H79" s="85" t="s">
        <v>45</v>
      </c>
      <c r="I79" s="85" t="s">
        <v>596</v>
      </c>
      <c r="J79" s="87">
        <v>1979</v>
      </c>
      <c r="K79" s="88">
        <v>43636</v>
      </c>
      <c r="L79" s="89"/>
      <c r="M79" s="85" t="s">
        <v>20</v>
      </c>
      <c r="N79" s="85" t="s">
        <v>15</v>
      </c>
      <c r="O79" s="90">
        <v>1E-3</v>
      </c>
      <c r="P79" s="91">
        <v>0.05</v>
      </c>
    </row>
    <row r="80" spans="1:16">
      <c r="A80" s="41" t="s">
        <v>594</v>
      </c>
      <c r="B80" s="95" t="s">
        <v>16</v>
      </c>
      <c r="C80" s="85" t="s">
        <v>137</v>
      </c>
      <c r="D80" s="85" t="s">
        <v>66</v>
      </c>
      <c r="E80" s="85" t="s">
        <v>14</v>
      </c>
      <c r="F80" s="85" t="s">
        <v>389</v>
      </c>
      <c r="G80" s="85" t="s">
        <v>606</v>
      </c>
      <c r="H80" s="85" t="s">
        <v>45</v>
      </c>
      <c r="I80" s="85" t="s">
        <v>596</v>
      </c>
      <c r="J80" s="87">
        <v>2345</v>
      </c>
      <c r="K80" s="88">
        <v>44002</v>
      </c>
      <c r="L80" s="89"/>
      <c r="M80" s="85" t="s">
        <v>21</v>
      </c>
      <c r="N80" s="85" t="s">
        <v>15</v>
      </c>
      <c r="O80" s="90">
        <v>1E-3</v>
      </c>
      <c r="P80" s="91">
        <v>0.05</v>
      </c>
    </row>
    <row r="81" spans="1:16">
      <c r="A81" s="41" t="s">
        <v>594</v>
      </c>
      <c r="B81" s="95" t="s">
        <v>16</v>
      </c>
      <c r="C81" s="85" t="s">
        <v>137</v>
      </c>
      <c r="D81" s="85" t="s">
        <v>66</v>
      </c>
      <c r="E81" s="85" t="s">
        <v>14</v>
      </c>
      <c r="F81" s="85" t="s">
        <v>113</v>
      </c>
      <c r="G81" s="85" t="s">
        <v>607</v>
      </c>
      <c r="H81" s="85" t="s">
        <v>45</v>
      </c>
      <c r="I81" s="85" t="s">
        <v>596</v>
      </c>
      <c r="J81" s="87">
        <v>1795</v>
      </c>
      <c r="K81" s="88">
        <v>43452</v>
      </c>
      <c r="L81" s="89"/>
      <c r="M81" s="85" t="s">
        <v>20</v>
      </c>
      <c r="N81" s="85" t="s">
        <v>15</v>
      </c>
      <c r="O81" s="90">
        <v>1E-3</v>
      </c>
      <c r="P81" s="91">
        <v>0.05</v>
      </c>
    </row>
    <row r="82" spans="1:16" ht="26.25">
      <c r="A82" s="41" t="s">
        <v>176</v>
      </c>
      <c r="B82" s="95" t="s">
        <v>12</v>
      </c>
      <c r="C82" s="85" t="s">
        <v>0</v>
      </c>
      <c r="D82" s="85" t="s">
        <v>66</v>
      </c>
      <c r="E82" s="85" t="s">
        <v>14</v>
      </c>
      <c r="F82" s="85" t="s">
        <v>177</v>
      </c>
      <c r="G82" s="85" t="s">
        <v>178</v>
      </c>
      <c r="H82" s="85" t="s">
        <v>45</v>
      </c>
      <c r="I82" s="85" t="s">
        <v>179</v>
      </c>
      <c r="J82" s="87">
        <v>1674</v>
      </c>
      <c r="K82" s="88">
        <v>43331</v>
      </c>
      <c r="L82" s="89" t="s">
        <v>19</v>
      </c>
      <c r="M82" s="85" t="s">
        <v>20</v>
      </c>
      <c r="N82" s="85" t="s">
        <v>15</v>
      </c>
      <c r="O82" s="90">
        <v>1E-3</v>
      </c>
      <c r="P82" s="91"/>
    </row>
    <row r="83" spans="1:16">
      <c r="A83" s="41" t="s">
        <v>498</v>
      </c>
      <c r="B83" s="95" t="s">
        <v>16</v>
      </c>
      <c r="C83" s="85" t="s">
        <v>0</v>
      </c>
      <c r="D83" s="85" t="s">
        <v>54</v>
      </c>
      <c r="E83" s="85" t="s">
        <v>14</v>
      </c>
      <c r="F83" s="85" t="s">
        <v>502</v>
      </c>
      <c r="G83" s="85" t="s">
        <v>503</v>
      </c>
      <c r="H83" s="85" t="s">
        <v>45</v>
      </c>
      <c r="I83" s="85" t="s">
        <v>500</v>
      </c>
      <c r="J83" s="87">
        <v>884</v>
      </c>
      <c r="K83" s="88">
        <v>42541</v>
      </c>
      <c r="L83" s="89"/>
      <c r="M83" s="85" t="s">
        <v>52</v>
      </c>
      <c r="N83" s="85" t="s">
        <v>15</v>
      </c>
      <c r="O83" s="90">
        <v>1E-3</v>
      </c>
      <c r="P83" s="91">
        <v>0.05</v>
      </c>
    </row>
    <row r="84" spans="1:16" ht="26.25">
      <c r="A84" s="41" t="s">
        <v>130</v>
      </c>
      <c r="B84" s="95" t="s">
        <v>12</v>
      </c>
      <c r="C84" s="85" t="s">
        <v>364</v>
      </c>
      <c r="D84" s="85" t="s">
        <v>66</v>
      </c>
      <c r="E84" s="85" t="s">
        <v>370</v>
      </c>
      <c r="F84" s="85" t="s">
        <v>134</v>
      </c>
      <c r="G84" s="85" t="s">
        <v>135</v>
      </c>
      <c r="H84" s="85" t="s">
        <v>132</v>
      </c>
      <c r="I84" s="85" t="s">
        <v>133</v>
      </c>
      <c r="J84" s="87">
        <v>1313</v>
      </c>
      <c r="K84" s="88">
        <v>42970</v>
      </c>
      <c r="L84" s="89" t="s">
        <v>19</v>
      </c>
      <c r="M84" s="85" t="s">
        <v>22</v>
      </c>
      <c r="N84" s="85" t="s">
        <v>2</v>
      </c>
      <c r="O84" s="90">
        <v>1E-3</v>
      </c>
      <c r="P84" s="91"/>
    </row>
    <row r="85" spans="1:16">
      <c r="A85" s="41" t="s">
        <v>652</v>
      </c>
      <c r="B85" s="95" t="s">
        <v>16</v>
      </c>
      <c r="C85" s="85" t="s">
        <v>186</v>
      </c>
      <c r="D85" s="85">
        <v>1</v>
      </c>
      <c r="E85" s="85" t="s">
        <v>61</v>
      </c>
      <c r="F85" s="85" t="s">
        <v>653</v>
      </c>
      <c r="G85" s="85" t="s">
        <v>654</v>
      </c>
      <c r="H85" s="85" t="s">
        <v>188</v>
      </c>
      <c r="I85" s="85" t="s">
        <v>655</v>
      </c>
      <c r="J85" s="87">
        <v>1</v>
      </c>
      <c r="K85" s="88">
        <v>41658</v>
      </c>
      <c r="L85" s="89"/>
      <c r="M85" s="85" t="s">
        <v>52</v>
      </c>
      <c r="N85" s="85" t="s">
        <v>660</v>
      </c>
      <c r="O85" s="90">
        <v>0</v>
      </c>
      <c r="P85" s="91">
        <v>0.02</v>
      </c>
    </row>
    <row r="86" spans="1:16">
      <c r="A86" s="41" t="s">
        <v>535</v>
      </c>
      <c r="B86" s="95" t="s">
        <v>16</v>
      </c>
      <c r="C86" s="85" t="s">
        <v>364</v>
      </c>
      <c r="D86" s="85">
        <v>1</v>
      </c>
      <c r="E86" s="85" t="s">
        <v>14</v>
      </c>
      <c r="F86" s="85" t="s">
        <v>43</v>
      </c>
      <c r="G86" s="85" t="s">
        <v>536</v>
      </c>
      <c r="H86" s="85" t="s">
        <v>537</v>
      </c>
      <c r="I86" s="85" t="s">
        <v>538</v>
      </c>
      <c r="J86" s="87">
        <v>300</v>
      </c>
      <c r="K86" s="88">
        <v>41957</v>
      </c>
      <c r="L86" s="89"/>
      <c r="M86" s="85" t="s">
        <v>22</v>
      </c>
      <c r="N86" s="85" t="s">
        <v>15</v>
      </c>
      <c r="O86" s="90">
        <v>1E-3</v>
      </c>
      <c r="P86" s="91">
        <v>0.05</v>
      </c>
    </row>
    <row r="87" spans="1:16">
      <c r="A87" s="41" t="s">
        <v>535</v>
      </c>
      <c r="B87" s="95" t="s">
        <v>16</v>
      </c>
      <c r="C87" s="85" t="s">
        <v>364</v>
      </c>
      <c r="D87" s="85">
        <v>1</v>
      </c>
      <c r="E87" s="85" t="s">
        <v>14</v>
      </c>
      <c r="F87" s="85" t="s">
        <v>362</v>
      </c>
      <c r="G87" s="85" t="s">
        <v>539</v>
      </c>
      <c r="H87" s="85" t="s">
        <v>537</v>
      </c>
      <c r="I87" s="85" t="s">
        <v>538</v>
      </c>
      <c r="J87" s="87">
        <v>2622</v>
      </c>
      <c r="K87" s="88">
        <v>44279</v>
      </c>
      <c r="L87" s="89"/>
      <c r="M87" s="85" t="s">
        <v>52</v>
      </c>
      <c r="N87" s="85" t="s">
        <v>15</v>
      </c>
      <c r="O87" s="90">
        <v>1E-3</v>
      </c>
      <c r="P87" s="91">
        <v>0.05</v>
      </c>
    </row>
    <row r="88" spans="1:16" ht="26.25">
      <c r="A88" s="41" t="s">
        <v>153</v>
      </c>
      <c r="B88" s="95" t="s">
        <v>12</v>
      </c>
      <c r="C88" s="85" t="s">
        <v>137</v>
      </c>
      <c r="D88" s="85" t="s">
        <v>54</v>
      </c>
      <c r="E88" s="85" t="s">
        <v>61</v>
      </c>
      <c r="F88" s="85" t="s">
        <v>159</v>
      </c>
      <c r="G88" s="85" t="s">
        <v>160</v>
      </c>
      <c r="H88" s="85" t="s">
        <v>156</v>
      </c>
      <c r="I88" s="85" t="s">
        <v>157</v>
      </c>
      <c r="J88" s="87">
        <v>1979</v>
      </c>
      <c r="K88" s="88">
        <v>43636</v>
      </c>
      <c r="L88" s="89" t="s">
        <v>19</v>
      </c>
      <c r="M88" s="85" t="s">
        <v>22</v>
      </c>
      <c r="N88" s="85" t="s">
        <v>660</v>
      </c>
      <c r="O88" s="90">
        <v>1E-3</v>
      </c>
      <c r="P88" s="91"/>
    </row>
    <row r="89" spans="1:16" ht="26.25">
      <c r="A89" s="41" t="s">
        <v>344</v>
      </c>
      <c r="B89" s="95" t="s">
        <v>12</v>
      </c>
      <c r="C89" s="85" t="s">
        <v>0</v>
      </c>
      <c r="D89" s="85" t="s">
        <v>66</v>
      </c>
      <c r="E89" s="85" t="s">
        <v>14</v>
      </c>
      <c r="F89" s="85" t="s">
        <v>119</v>
      </c>
      <c r="G89" s="85" t="s">
        <v>345</v>
      </c>
      <c r="H89" s="85" t="s">
        <v>45</v>
      </c>
      <c r="I89" s="85" t="s">
        <v>346</v>
      </c>
      <c r="J89" s="87">
        <v>237</v>
      </c>
      <c r="K89" s="88">
        <v>41894</v>
      </c>
      <c r="L89" s="89" t="s">
        <v>19</v>
      </c>
      <c r="M89" s="85" t="s">
        <v>22</v>
      </c>
      <c r="N89" s="85" t="s">
        <v>15</v>
      </c>
      <c r="O89" s="90">
        <v>0</v>
      </c>
      <c r="P89" s="91"/>
    </row>
    <row r="90" spans="1:16" ht="26.25">
      <c r="A90" s="41" t="s">
        <v>344</v>
      </c>
      <c r="B90" s="95" t="s">
        <v>12</v>
      </c>
      <c r="C90" s="85" t="s">
        <v>0</v>
      </c>
      <c r="D90" s="85" t="s">
        <v>66</v>
      </c>
      <c r="E90" s="85" t="s">
        <v>14</v>
      </c>
      <c r="F90" s="85" t="s">
        <v>74</v>
      </c>
      <c r="G90" s="85" t="s">
        <v>347</v>
      </c>
      <c r="H90" s="85" t="s">
        <v>45</v>
      </c>
      <c r="I90" s="85" t="s">
        <v>346</v>
      </c>
      <c r="J90" s="87">
        <v>237</v>
      </c>
      <c r="K90" s="88">
        <v>41894</v>
      </c>
      <c r="L90" s="89" t="s">
        <v>19</v>
      </c>
      <c r="M90" s="85" t="s">
        <v>52</v>
      </c>
      <c r="N90" s="85" t="s">
        <v>15</v>
      </c>
      <c r="O90" s="90">
        <v>0</v>
      </c>
      <c r="P90" s="91"/>
    </row>
    <row r="91" spans="1:16" ht="26.25">
      <c r="A91" s="41" t="s">
        <v>226</v>
      </c>
      <c r="B91" s="95" t="s">
        <v>12</v>
      </c>
      <c r="C91" s="85" t="s">
        <v>0</v>
      </c>
      <c r="D91" s="85" t="s">
        <v>66</v>
      </c>
      <c r="E91" s="85" t="s">
        <v>14</v>
      </c>
      <c r="F91" s="85" t="s">
        <v>227</v>
      </c>
      <c r="G91" s="85" t="s">
        <v>228</v>
      </c>
      <c r="H91" s="85" t="s">
        <v>45</v>
      </c>
      <c r="I91" s="85" t="s">
        <v>229</v>
      </c>
      <c r="J91" s="87">
        <v>916</v>
      </c>
      <c r="K91" s="88">
        <v>42573</v>
      </c>
      <c r="L91" s="89" t="s">
        <v>19</v>
      </c>
      <c r="M91" s="85" t="s">
        <v>21</v>
      </c>
      <c r="N91" s="85" t="s">
        <v>15</v>
      </c>
      <c r="O91" s="90">
        <v>0</v>
      </c>
      <c r="P91" s="91"/>
    </row>
    <row r="92" spans="1:16">
      <c r="A92" s="41" t="s">
        <v>424</v>
      </c>
      <c r="B92" s="95" t="s">
        <v>16</v>
      </c>
      <c r="C92" s="85" t="s">
        <v>137</v>
      </c>
      <c r="D92" s="85" t="s">
        <v>66</v>
      </c>
      <c r="E92" s="85" t="s">
        <v>14</v>
      </c>
      <c r="F92" s="85" t="s">
        <v>425</v>
      </c>
      <c r="G92" s="85" t="s">
        <v>426</v>
      </c>
      <c r="H92" s="85" t="s">
        <v>45</v>
      </c>
      <c r="I92" s="85" t="s">
        <v>427</v>
      </c>
      <c r="J92" s="87">
        <v>542</v>
      </c>
      <c r="K92" s="88">
        <v>42199</v>
      </c>
      <c r="L92" s="89"/>
      <c r="M92" s="85" t="s">
        <v>52</v>
      </c>
      <c r="N92" s="85" t="s">
        <v>15</v>
      </c>
      <c r="O92" s="90">
        <v>1E-3</v>
      </c>
      <c r="P92" s="91">
        <v>0.05</v>
      </c>
    </row>
    <row r="93" spans="1:16">
      <c r="A93" s="41" t="s">
        <v>424</v>
      </c>
      <c r="B93" s="95" t="s">
        <v>16</v>
      </c>
      <c r="C93" s="85" t="s">
        <v>137</v>
      </c>
      <c r="D93" s="85" t="s">
        <v>66</v>
      </c>
      <c r="E93" s="85" t="s">
        <v>14</v>
      </c>
      <c r="F93" s="85" t="s">
        <v>425</v>
      </c>
      <c r="G93" s="85" t="s">
        <v>680</v>
      </c>
      <c r="H93" s="85" t="s">
        <v>45</v>
      </c>
      <c r="I93" s="85" t="s">
        <v>427</v>
      </c>
      <c r="J93" s="87">
        <v>542</v>
      </c>
      <c r="K93" s="88">
        <v>42199</v>
      </c>
      <c r="L93" s="89"/>
      <c r="M93" s="85" t="s">
        <v>20</v>
      </c>
      <c r="N93" s="85" t="s">
        <v>15</v>
      </c>
      <c r="O93" s="90">
        <v>1E-3</v>
      </c>
      <c r="P93" s="91">
        <v>0.05</v>
      </c>
    </row>
    <row r="94" spans="1:16">
      <c r="A94" s="41" t="s">
        <v>591</v>
      </c>
      <c r="B94" s="95" t="s">
        <v>16</v>
      </c>
      <c r="C94" s="85" t="s">
        <v>186</v>
      </c>
      <c r="D94" s="85" t="s">
        <v>78</v>
      </c>
      <c r="E94" s="85" t="s">
        <v>61</v>
      </c>
      <c r="F94" s="85" t="s">
        <v>388</v>
      </c>
      <c r="G94" s="85" t="s">
        <v>592</v>
      </c>
      <c r="H94" s="85" t="s">
        <v>219</v>
      </c>
      <c r="I94" s="85" t="s">
        <v>593</v>
      </c>
      <c r="J94" s="87">
        <v>1</v>
      </c>
      <c r="K94" s="88">
        <v>41658</v>
      </c>
      <c r="L94" s="89"/>
      <c r="M94" s="85" t="s">
        <v>52</v>
      </c>
      <c r="N94" s="85" t="s">
        <v>660</v>
      </c>
      <c r="O94" s="90">
        <v>1E-3</v>
      </c>
      <c r="P94" s="91">
        <v>0.05</v>
      </c>
    </row>
    <row r="95" spans="1:16" ht="26.25">
      <c r="A95" s="41" t="s">
        <v>252</v>
      </c>
      <c r="B95" s="95" t="s">
        <v>12</v>
      </c>
      <c r="C95" s="85" t="s">
        <v>137</v>
      </c>
      <c r="D95" s="85" t="s">
        <v>42</v>
      </c>
      <c r="E95" s="85" t="s">
        <v>14</v>
      </c>
      <c r="F95" s="85" t="s">
        <v>253</v>
      </c>
      <c r="G95" s="85" t="s">
        <v>254</v>
      </c>
      <c r="H95" s="85" t="s">
        <v>45</v>
      </c>
      <c r="I95" s="85" t="s">
        <v>255</v>
      </c>
      <c r="J95" s="87">
        <v>516</v>
      </c>
      <c r="K95" s="88">
        <v>42173</v>
      </c>
      <c r="L95" s="89" t="s">
        <v>19</v>
      </c>
      <c r="M95" s="85" t="s">
        <v>20</v>
      </c>
      <c r="N95" s="85" t="s">
        <v>15</v>
      </c>
      <c r="O95" s="90">
        <v>0</v>
      </c>
      <c r="P95" s="91"/>
    </row>
    <row r="96" spans="1:16" ht="26.25">
      <c r="A96" s="41" t="s">
        <v>252</v>
      </c>
      <c r="B96" s="95" t="s">
        <v>12</v>
      </c>
      <c r="C96" s="85" t="s">
        <v>137</v>
      </c>
      <c r="D96" s="85" t="s">
        <v>42</v>
      </c>
      <c r="E96" s="85" t="s">
        <v>14</v>
      </c>
      <c r="F96" s="85" t="s">
        <v>256</v>
      </c>
      <c r="G96" s="85" t="s">
        <v>257</v>
      </c>
      <c r="H96" s="85" t="s">
        <v>45</v>
      </c>
      <c r="I96" s="85" t="s">
        <v>255</v>
      </c>
      <c r="J96" s="87">
        <v>153</v>
      </c>
      <c r="K96" s="88">
        <v>41810</v>
      </c>
      <c r="L96" s="89" t="s">
        <v>19</v>
      </c>
      <c r="M96" s="85" t="s">
        <v>21</v>
      </c>
      <c r="N96" s="85" t="s">
        <v>15</v>
      </c>
      <c r="O96" s="90">
        <v>0</v>
      </c>
      <c r="P96" s="91"/>
    </row>
    <row r="97" spans="1:16" ht="26.25">
      <c r="A97" s="41" t="s">
        <v>261</v>
      </c>
      <c r="B97" s="95" t="s">
        <v>12</v>
      </c>
      <c r="C97" s="85" t="s">
        <v>0</v>
      </c>
      <c r="D97" s="85" t="s">
        <v>66</v>
      </c>
      <c r="E97" s="85" t="s">
        <v>14</v>
      </c>
      <c r="F97" s="85" t="s">
        <v>256</v>
      </c>
      <c r="G97" s="85" t="s">
        <v>262</v>
      </c>
      <c r="H97" s="85" t="s">
        <v>45</v>
      </c>
      <c r="I97" s="85" t="s">
        <v>263</v>
      </c>
      <c r="J97" s="87">
        <v>180</v>
      </c>
      <c r="K97" s="88">
        <v>41837</v>
      </c>
      <c r="L97" s="89" t="s">
        <v>19</v>
      </c>
      <c r="M97" s="85" t="s">
        <v>20</v>
      </c>
      <c r="N97" s="85" t="s">
        <v>15</v>
      </c>
      <c r="O97" s="90">
        <v>0</v>
      </c>
      <c r="P97" s="91"/>
    </row>
    <row r="98" spans="1:16" ht="26.25">
      <c r="A98" s="41" t="s">
        <v>261</v>
      </c>
      <c r="B98" s="95" t="s">
        <v>12</v>
      </c>
      <c r="C98" s="85" t="s">
        <v>0</v>
      </c>
      <c r="D98" s="85" t="s">
        <v>66</v>
      </c>
      <c r="E98" s="85" t="s">
        <v>14</v>
      </c>
      <c r="F98" s="85" t="s">
        <v>247</v>
      </c>
      <c r="G98" s="85" t="s">
        <v>264</v>
      </c>
      <c r="H98" s="85" t="s">
        <v>45</v>
      </c>
      <c r="I98" s="85" t="s">
        <v>263</v>
      </c>
      <c r="J98" s="87">
        <v>545</v>
      </c>
      <c r="K98" s="88">
        <v>42202</v>
      </c>
      <c r="L98" s="89" t="s">
        <v>19</v>
      </c>
      <c r="M98" s="85" t="s">
        <v>21</v>
      </c>
      <c r="N98" s="85" t="s">
        <v>15</v>
      </c>
      <c r="O98" s="90">
        <v>0</v>
      </c>
      <c r="P98" s="91"/>
    </row>
    <row r="99" spans="1:16" ht="26.25">
      <c r="A99" s="41" t="s">
        <v>211</v>
      </c>
      <c r="B99" s="95" t="s">
        <v>12</v>
      </c>
      <c r="C99" s="85" t="s">
        <v>137</v>
      </c>
      <c r="D99" s="85" t="s">
        <v>42</v>
      </c>
      <c r="E99" s="85" t="s">
        <v>14</v>
      </c>
      <c r="F99" s="85" t="s">
        <v>212</v>
      </c>
      <c r="G99" s="85" t="s">
        <v>213</v>
      </c>
      <c r="H99" s="85" t="s">
        <v>45</v>
      </c>
      <c r="I99" s="85" t="s">
        <v>214</v>
      </c>
      <c r="J99" s="87">
        <v>550</v>
      </c>
      <c r="K99" s="88">
        <v>42207</v>
      </c>
      <c r="L99" s="89" t="s">
        <v>19</v>
      </c>
      <c r="M99" s="85" t="s">
        <v>20</v>
      </c>
      <c r="N99" s="85" t="s">
        <v>15</v>
      </c>
      <c r="O99" s="90">
        <v>0</v>
      </c>
      <c r="P99" s="91"/>
    </row>
    <row r="100" spans="1:16" ht="26.25">
      <c r="A100" s="41" t="s">
        <v>211</v>
      </c>
      <c r="B100" s="95" t="s">
        <v>12</v>
      </c>
      <c r="C100" s="85" t="s">
        <v>137</v>
      </c>
      <c r="D100" s="85" t="s">
        <v>42</v>
      </c>
      <c r="E100" s="85" t="s">
        <v>14</v>
      </c>
      <c r="F100" s="85" t="s">
        <v>215</v>
      </c>
      <c r="G100" s="85" t="s">
        <v>216</v>
      </c>
      <c r="H100" s="85" t="s">
        <v>45</v>
      </c>
      <c r="I100" s="85" t="s">
        <v>214</v>
      </c>
      <c r="J100" s="87">
        <v>550</v>
      </c>
      <c r="K100" s="88">
        <v>42207</v>
      </c>
      <c r="L100" s="89" t="s">
        <v>19</v>
      </c>
      <c r="M100" s="85" t="s">
        <v>21</v>
      </c>
      <c r="N100" s="85" t="s">
        <v>15</v>
      </c>
      <c r="O100" s="90">
        <v>0</v>
      </c>
      <c r="P100" s="91"/>
    </row>
    <row r="101" spans="1:16" ht="26.25">
      <c r="A101" s="41" t="s">
        <v>41</v>
      </c>
      <c r="B101" s="95" t="s">
        <v>12</v>
      </c>
      <c r="C101" s="85" t="s">
        <v>0</v>
      </c>
      <c r="D101" s="85" t="s">
        <v>42</v>
      </c>
      <c r="E101" s="85" t="s">
        <v>14</v>
      </c>
      <c r="F101" s="85" t="s">
        <v>47</v>
      </c>
      <c r="G101" s="85" t="s">
        <v>48</v>
      </c>
      <c r="H101" s="85" t="s">
        <v>45</v>
      </c>
      <c r="I101" s="85" t="s">
        <v>46</v>
      </c>
      <c r="J101" s="87">
        <v>312</v>
      </c>
      <c r="K101" s="88">
        <v>41969</v>
      </c>
      <c r="L101" s="89" t="s">
        <v>19</v>
      </c>
      <c r="M101" s="85" t="s">
        <v>21</v>
      </c>
      <c r="N101" s="85" t="s">
        <v>15</v>
      </c>
      <c r="O101" s="90">
        <v>0</v>
      </c>
      <c r="P101" s="91"/>
    </row>
    <row r="102" spans="1:16" ht="26.25">
      <c r="A102" s="41" t="s">
        <v>41</v>
      </c>
      <c r="B102" s="95" t="s">
        <v>12</v>
      </c>
      <c r="C102" s="85" t="s">
        <v>0</v>
      </c>
      <c r="D102" s="85" t="s">
        <v>42</v>
      </c>
      <c r="E102" s="85" t="s">
        <v>14</v>
      </c>
      <c r="F102" s="85" t="s">
        <v>43</v>
      </c>
      <c r="G102" s="85" t="s">
        <v>44</v>
      </c>
      <c r="H102" s="85" t="s">
        <v>45</v>
      </c>
      <c r="I102" s="85" t="s">
        <v>46</v>
      </c>
      <c r="J102" s="87">
        <v>678</v>
      </c>
      <c r="K102" s="88">
        <v>42335</v>
      </c>
      <c r="L102" s="89" t="s">
        <v>19</v>
      </c>
      <c r="M102" s="85" t="s">
        <v>20</v>
      </c>
      <c r="N102" s="85" t="s">
        <v>15</v>
      </c>
      <c r="O102" s="90">
        <v>1E-3</v>
      </c>
      <c r="P102" s="91"/>
    </row>
    <row r="103" spans="1:16" ht="26.25">
      <c r="A103" s="41" t="s">
        <v>69</v>
      </c>
      <c r="B103" s="95" t="s">
        <v>12</v>
      </c>
      <c r="C103" s="85" t="s">
        <v>137</v>
      </c>
      <c r="D103" s="85" t="s">
        <v>42</v>
      </c>
      <c r="E103" s="85" t="s">
        <v>14</v>
      </c>
      <c r="F103" s="85" t="s">
        <v>70</v>
      </c>
      <c r="G103" s="85" t="s">
        <v>71</v>
      </c>
      <c r="H103" s="85" t="s">
        <v>45</v>
      </c>
      <c r="I103" s="85" t="s">
        <v>72</v>
      </c>
      <c r="J103" s="87">
        <v>17</v>
      </c>
      <c r="K103" s="88">
        <v>41674</v>
      </c>
      <c r="L103" s="89" t="s">
        <v>19</v>
      </c>
      <c r="M103" s="85" t="s">
        <v>52</v>
      </c>
      <c r="N103" s="85" t="s">
        <v>15</v>
      </c>
      <c r="O103" s="90">
        <v>1E-3</v>
      </c>
      <c r="P103" s="91"/>
    </row>
    <row r="104" spans="1:16" ht="26.25">
      <c r="A104" s="41" t="s">
        <v>340</v>
      </c>
      <c r="B104" s="95" t="s">
        <v>12</v>
      </c>
      <c r="C104" s="85" t="s">
        <v>137</v>
      </c>
      <c r="D104" s="85" t="s">
        <v>42</v>
      </c>
      <c r="E104" s="85" t="s">
        <v>14</v>
      </c>
      <c r="F104" s="85" t="s">
        <v>341</v>
      </c>
      <c r="G104" s="85" t="s">
        <v>342</v>
      </c>
      <c r="H104" s="85" t="s">
        <v>45</v>
      </c>
      <c r="I104" s="85" t="s">
        <v>343</v>
      </c>
      <c r="J104" s="87">
        <v>153</v>
      </c>
      <c r="K104" s="88">
        <v>41810</v>
      </c>
      <c r="L104" s="89" t="s">
        <v>19</v>
      </c>
      <c r="M104" s="85" t="s">
        <v>21</v>
      </c>
      <c r="N104" s="85" t="s">
        <v>15</v>
      </c>
      <c r="O104" s="90">
        <v>0</v>
      </c>
      <c r="P104" s="91"/>
    </row>
    <row r="105" spans="1:16" ht="26.25">
      <c r="A105" s="41" t="s">
        <v>53</v>
      </c>
      <c r="B105" s="95" t="s">
        <v>12</v>
      </c>
      <c r="C105" s="85" t="s">
        <v>364</v>
      </c>
      <c r="D105" s="85" t="s">
        <v>54</v>
      </c>
      <c r="E105" s="85" t="s">
        <v>14</v>
      </c>
      <c r="F105" s="85" t="s">
        <v>55</v>
      </c>
      <c r="G105" s="85" t="s">
        <v>56</v>
      </c>
      <c r="H105" s="85" t="s">
        <v>57</v>
      </c>
      <c r="I105" s="85" t="s">
        <v>58</v>
      </c>
      <c r="J105" s="87">
        <v>32</v>
      </c>
      <c r="K105" s="88">
        <v>41689</v>
      </c>
      <c r="L105" s="89" t="s">
        <v>19</v>
      </c>
      <c r="M105" s="85" t="s">
        <v>20</v>
      </c>
      <c r="N105" s="85" t="s">
        <v>15</v>
      </c>
      <c r="O105" s="90">
        <v>1E-3</v>
      </c>
      <c r="P105" s="91"/>
    </row>
    <row r="106" spans="1:16">
      <c r="A106" s="41" t="s">
        <v>573</v>
      </c>
      <c r="B106" s="95" t="s">
        <v>16</v>
      </c>
      <c r="C106" s="85" t="s">
        <v>356</v>
      </c>
      <c r="D106" s="85" t="s">
        <v>42</v>
      </c>
      <c r="E106" s="85" t="s">
        <v>14</v>
      </c>
      <c r="F106" s="85" t="s">
        <v>363</v>
      </c>
      <c r="G106" s="85" t="s">
        <v>574</v>
      </c>
      <c r="H106" s="85" t="s">
        <v>45</v>
      </c>
      <c r="I106" s="85" t="s">
        <v>575</v>
      </c>
      <c r="J106" s="87">
        <v>884</v>
      </c>
      <c r="K106" s="88">
        <v>42541</v>
      </c>
      <c r="L106" s="89"/>
      <c r="M106" s="85" t="s">
        <v>22</v>
      </c>
      <c r="N106" s="85" t="s">
        <v>15</v>
      </c>
      <c r="O106" s="90">
        <v>1E-3</v>
      </c>
      <c r="P106" s="91">
        <v>0.05</v>
      </c>
    </row>
    <row r="107" spans="1:16">
      <c r="A107" s="41" t="s">
        <v>573</v>
      </c>
      <c r="B107" s="95" t="s">
        <v>16</v>
      </c>
      <c r="C107" s="85" t="s">
        <v>372</v>
      </c>
      <c r="D107" s="85" t="s">
        <v>110</v>
      </c>
      <c r="E107" s="85" t="s">
        <v>14</v>
      </c>
      <c r="F107" s="85" t="s">
        <v>74</v>
      </c>
      <c r="G107" s="85" t="s">
        <v>576</v>
      </c>
      <c r="H107" s="85" t="s">
        <v>45</v>
      </c>
      <c r="I107" s="85" t="s">
        <v>575</v>
      </c>
      <c r="J107" s="87">
        <v>1112</v>
      </c>
      <c r="K107" s="88">
        <v>42769</v>
      </c>
      <c r="L107" s="89"/>
      <c r="M107" s="85" t="s">
        <v>52</v>
      </c>
      <c r="N107" s="85" t="s">
        <v>15</v>
      </c>
      <c r="O107" s="90">
        <v>1E-3</v>
      </c>
      <c r="P107" s="91">
        <v>0.05</v>
      </c>
    </row>
    <row r="108" spans="1:16">
      <c r="A108" s="41" t="s">
        <v>573</v>
      </c>
      <c r="B108" s="95" t="s">
        <v>16</v>
      </c>
      <c r="C108" s="85" t="s">
        <v>356</v>
      </c>
      <c r="D108" s="85" t="s">
        <v>42</v>
      </c>
      <c r="E108" s="85" t="s">
        <v>14</v>
      </c>
      <c r="F108" s="85" t="s">
        <v>577</v>
      </c>
      <c r="G108" s="85" t="s">
        <v>578</v>
      </c>
      <c r="H108" s="85" t="s">
        <v>45</v>
      </c>
      <c r="I108" s="85" t="s">
        <v>575</v>
      </c>
      <c r="J108" s="87">
        <v>747</v>
      </c>
      <c r="K108" s="88">
        <v>42404</v>
      </c>
      <c r="L108" s="89"/>
      <c r="M108" s="85" t="s">
        <v>20</v>
      </c>
      <c r="N108" s="85" t="s">
        <v>15</v>
      </c>
      <c r="O108" s="90">
        <v>1E-3</v>
      </c>
      <c r="P108" s="91">
        <v>0.05</v>
      </c>
    </row>
    <row r="109" spans="1:16">
      <c r="A109" s="41" t="s">
        <v>573</v>
      </c>
      <c r="B109" s="95" t="s">
        <v>16</v>
      </c>
      <c r="C109" s="85" t="s">
        <v>356</v>
      </c>
      <c r="D109" s="85" t="s">
        <v>42</v>
      </c>
      <c r="E109" s="85" t="s">
        <v>14</v>
      </c>
      <c r="F109" s="85" t="s">
        <v>355</v>
      </c>
      <c r="G109" s="85" t="s">
        <v>579</v>
      </c>
      <c r="H109" s="85" t="s">
        <v>45</v>
      </c>
      <c r="I109" s="85" t="s">
        <v>575</v>
      </c>
      <c r="J109" s="87">
        <v>16</v>
      </c>
      <c r="K109" s="88">
        <v>41673</v>
      </c>
      <c r="L109" s="89"/>
      <c r="M109" s="85" t="s">
        <v>21</v>
      </c>
      <c r="N109" s="85" t="s">
        <v>15</v>
      </c>
      <c r="O109" s="90">
        <v>1E-3</v>
      </c>
      <c r="P109" s="91">
        <v>0.05</v>
      </c>
    </row>
    <row r="110" spans="1:16">
      <c r="A110" s="41" t="s">
        <v>573</v>
      </c>
      <c r="B110" s="95" t="s">
        <v>16</v>
      </c>
      <c r="C110" s="85" t="s">
        <v>356</v>
      </c>
      <c r="D110" s="85" t="s">
        <v>42</v>
      </c>
      <c r="E110" s="85" t="s">
        <v>14</v>
      </c>
      <c r="F110" s="85" t="s">
        <v>82</v>
      </c>
      <c r="G110" s="85" t="s">
        <v>580</v>
      </c>
      <c r="H110" s="85" t="s">
        <v>45</v>
      </c>
      <c r="I110" s="85" t="s">
        <v>575</v>
      </c>
      <c r="J110" s="87">
        <v>747</v>
      </c>
      <c r="K110" s="88">
        <v>42404</v>
      </c>
      <c r="L110" s="89"/>
      <c r="M110" s="85" t="s">
        <v>20</v>
      </c>
      <c r="N110" s="85" t="s">
        <v>15</v>
      </c>
      <c r="O110" s="90">
        <v>1E-3</v>
      </c>
      <c r="P110" s="91">
        <v>0.05</v>
      </c>
    </row>
    <row r="111" spans="1:16">
      <c r="A111" s="41" t="s">
        <v>594</v>
      </c>
      <c r="B111" s="95" t="s">
        <v>16</v>
      </c>
      <c r="C111" s="85" t="s">
        <v>137</v>
      </c>
      <c r="D111" s="85" t="s">
        <v>66</v>
      </c>
      <c r="E111" s="85" t="s">
        <v>14</v>
      </c>
      <c r="F111" s="85" t="s">
        <v>134</v>
      </c>
      <c r="G111" s="85" t="s">
        <v>595</v>
      </c>
      <c r="H111" s="85" t="s">
        <v>45</v>
      </c>
      <c r="I111" s="85" t="s">
        <v>596</v>
      </c>
      <c r="J111" s="87">
        <v>792</v>
      </c>
      <c r="K111" s="88">
        <v>42449</v>
      </c>
      <c r="L111" s="89"/>
      <c r="M111" s="85" t="s">
        <v>21</v>
      </c>
      <c r="N111" s="85" t="s">
        <v>15</v>
      </c>
      <c r="O111" s="90">
        <v>1E-3</v>
      </c>
      <c r="P111" s="91">
        <v>0.05</v>
      </c>
    </row>
    <row r="112" spans="1:16">
      <c r="A112" s="41" t="s">
        <v>594</v>
      </c>
      <c r="B112" s="95" t="s">
        <v>16</v>
      </c>
      <c r="C112" s="85" t="s">
        <v>137</v>
      </c>
      <c r="D112" s="85" t="s">
        <v>66</v>
      </c>
      <c r="E112" s="85" t="s">
        <v>14</v>
      </c>
      <c r="F112" s="85" t="s">
        <v>149</v>
      </c>
      <c r="G112" s="85" t="s">
        <v>597</v>
      </c>
      <c r="H112" s="85" t="s">
        <v>45</v>
      </c>
      <c r="I112" s="85" t="s">
        <v>596</v>
      </c>
      <c r="J112" s="87">
        <v>792</v>
      </c>
      <c r="K112" s="88">
        <v>42449</v>
      </c>
      <c r="L112" s="89"/>
      <c r="M112" s="85" t="s">
        <v>20</v>
      </c>
      <c r="N112" s="85" t="s">
        <v>15</v>
      </c>
      <c r="O112" s="90">
        <v>1E-3</v>
      </c>
      <c r="P112" s="91">
        <v>0.05</v>
      </c>
    </row>
    <row r="113" spans="1:16">
      <c r="A113" s="41" t="s">
        <v>488</v>
      </c>
      <c r="B113" s="95" t="s">
        <v>16</v>
      </c>
      <c r="C113" s="85" t="s">
        <v>0</v>
      </c>
      <c r="D113" s="85" t="s">
        <v>54</v>
      </c>
      <c r="E113" s="85" t="s">
        <v>14</v>
      </c>
      <c r="F113" s="85" t="s">
        <v>270</v>
      </c>
      <c r="G113" s="85" t="s">
        <v>489</v>
      </c>
      <c r="H113" s="85" t="s">
        <v>45</v>
      </c>
      <c r="I113" s="85" t="s">
        <v>490</v>
      </c>
      <c r="J113" s="87">
        <v>90</v>
      </c>
      <c r="K113" s="88">
        <v>41747</v>
      </c>
      <c r="L113" s="89"/>
      <c r="M113" s="85" t="s">
        <v>22</v>
      </c>
      <c r="N113" s="85" t="s">
        <v>15</v>
      </c>
      <c r="O113" s="90">
        <v>1E-3</v>
      </c>
      <c r="P113" s="91">
        <v>0.05</v>
      </c>
    </row>
    <row r="114" spans="1:16">
      <c r="A114" s="41" t="s">
        <v>488</v>
      </c>
      <c r="B114" s="95" t="s">
        <v>16</v>
      </c>
      <c r="C114" s="85" t="s">
        <v>0</v>
      </c>
      <c r="D114" s="85" t="s">
        <v>54</v>
      </c>
      <c r="E114" s="85" t="s">
        <v>14</v>
      </c>
      <c r="F114" s="85" t="s">
        <v>327</v>
      </c>
      <c r="G114" s="85" t="s">
        <v>491</v>
      </c>
      <c r="H114" s="85" t="s">
        <v>45</v>
      </c>
      <c r="I114" s="85" t="s">
        <v>490</v>
      </c>
      <c r="J114" s="87">
        <v>457</v>
      </c>
      <c r="K114" s="88">
        <v>42114</v>
      </c>
      <c r="L114" s="89"/>
      <c r="M114" s="85" t="s">
        <v>52</v>
      </c>
      <c r="N114" s="85" t="s">
        <v>15</v>
      </c>
      <c r="O114" s="90">
        <v>1E-3</v>
      </c>
      <c r="P114" s="91">
        <v>0.05</v>
      </c>
    </row>
    <row r="115" spans="1:16" ht="26.25">
      <c r="A115" s="41" t="s">
        <v>168</v>
      </c>
      <c r="B115" s="95" t="s">
        <v>12</v>
      </c>
      <c r="C115" s="85" t="s">
        <v>137</v>
      </c>
      <c r="D115" s="85" t="s">
        <v>66</v>
      </c>
      <c r="E115" s="85" t="s">
        <v>14</v>
      </c>
      <c r="F115" s="85" t="s">
        <v>47</v>
      </c>
      <c r="G115" s="85" t="s">
        <v>169</v>
      </c>
      <c r="H115" s="85" t="s">
        <v>45</v>
      </c>
      <c r="I115" s="85" t="s">
        <v>170</v>
      </c>
      <c r="J115" s="87">
        <v>443</v>
      </c>
      <c r="K115" s="88">
        <v>42100</v>
      </c>
      <c r="L115" s="89" t="s">
        <v>19</v>
      </c>
      <c r="M115" s="85" t="s">
        <v>21</v>
      </c>
      <c r="N115" s="85" t="s">
        <v>15</v>
      </c>
      <c r="O115" s="90">
        <v>1E-3</v>
      </c>
      <c r="P115" s="91"/>
    </row>
    <row r="116" spans="1:16" ht="26.25">
      <c r="A116" s="41" t="s">
        <v>168</v>
      </c>
      <c r="B116" s="95" t="s">
        <v>12</v>
      </c>
      <c r="C116" s="85" t="s">
        <v>137</v>
      </c>
      <c r="D116" s="85" t="s">
        <v>66</v>
      </c>
      <c r="E116" s="85" t="s">
        <v>14</v>
      </c>
      <c r="F116" s="85" t="s">
        <v>171</v>
      </c>
      <c r="G116" s="85" t="s">
        <v>172</v>
      </c>
      <c r="H116" s="85" t="s">
        <v>45</v>
      </c>
      <c r="I116" s="85" t="s">
        <v>170</v>
      </c>
      <c r="J116" s="87">
        <v>884</v>
      </c>
      <c r="K116" s="88">
        <v>42541</v>
      </c>
      <c r="L116" s="89" t="s">
        <v>19</v>
      </c>
      <c r="M116" s="85" t="s">
        <v>22</v>
      </c>
      <c r="N116" s="85" t="s">
        <v>15</v>
      </c>
      <c r="O116" s="90">
        <v>1E-3</v>
      </c>
      <c r="P116" s="91"/>
    </row>
    <row r="117" spans="1:16" ht="26.25">
      <c r="A117" s="41" t="s">
        <v>153</v>
      </c>
      <c r="B117" s="95" t="s">
        <v>12</v>
      </c>
      <c r="C117" s="85" t="s">
        <v>137</v>
      </c>
      <c r="D117" s="85" t="s">
        <v>54</v>
      </c>
      <c r="E117" s="85" t="s">
        <v>61</v>
      </c>
      <c r="F117" s="85" t="s">
        <v>154</v>
      </c>
      <c r="G117" s="85" t="s">
        <v>155</v>
      </c>
      <c r="H117" s="85" t="s">
        <v>156</v>
      </c>
      <c r="I117" s="85" t="s">
        <v>157</v>
      </c>
      <c r="J117" s="87">
        <v>569</v>
      </c>
      <c r="K117" s="88">
        <v>42226</v>
      </c>
      <c r="L117" s="89" t="s">
        <v>19</v>
      </c>
      <c r="M117" s="85" t="s">
        <v>20</v>
      </c>
      <c r="N117" s="85" t="s">
        <v>660</v>
      </c>
      <c r="O117" s="90">
        <v>1E-3</v>
      </c>
      <c r="P117" s="91"/>
    </row>
    <row r="118" spans="1:16" ht="26.25">
      <c r="A118" s="41" t="s">
        <v>153</v>
      </c>
      <c r="B118" s="95" t="s">
        <v>12</v>
      </c>
      <c r="C118" s="85" t="s">
        <v>137</v>
      </c>
      <c r="D118" s="85" t="s">
        <v>54</v>
      </c>
      <c r="E118" s="85" t="s">
        <v>61</v>
      </c>
      <c r="F118" s="85" t="s">
        <v>47</v>
      </c>
      <c r="G118" s="85" t="s">
        <v>158</v>
      </c>
      <c r="H118" s="85" t="s">
        <v>156</v>
      </c>
      <c r="I118" s="85" t="s">
        <v>157</v>
      </c>
      <c r="J118" s="87">
        <v>1</v>
      </c>
      <c r="K118" s="88">
        <v>41658</v>
      </c>
      <c r="L118" s="89" t="s">
        <v>19</v>
      </c>
      <c r="M118" s="85" t="s">
        <v>21</v>
      </c>
      <c r="N118" s="85" t="s">
        <v>660</v>
      </c>
      <c r="O118" s="90">
        <v>1E-3</v>
      </c>
      <c r="P118" s="91"/>
    </row>
    <row r="119" spans="1:16" ht="26.25">
      <c r="A119" s="41" t="s">
        <v>294</v>
      </c>
      <c r="B119" s="95" t="s">
        <v>12</v>
      </c>
      <c r="C119" s="85" t="s">
        <v>364</v>
      </c>
      <c r="D119" s="85" t="s">
        <v>42</v>
      </c>
      <c r="E119" s="85" t="s">
        <v>295</v>
      </c>
      <c r="F119" s="85" t="s">
        <v>270</v>
      </c>
      <c r="G119" s="85" t="s">
        <v>296</v>
      </c>
      <c r="H119" s="85" t="s">
        <v>80</v>
      </c>
      <c r="I119" s="85" t="s">
        <v>297</v>
      </c>
      <c r="J119" s="87">
        <v>9284</v>
      </c>
      <c r="K119" s="88">
        <v>50941</v>
      </c>
      <c r="L119" s="89" t="s">
        <v>19</v>
      </c>
      <c r="M119" s="85" t="s">
        <v>21</v>
      </c>
      <c r="N119" s="85" t="s">
        <v>668</v>
      </c>
      <c r="O119" s="90">
        <v>0</v>
      </c>
      <c r="P119" s="91"/>
    </row>
    <row r="120" spans="1:16" ht="26.25">
      <c r="A120" s="41" t="s">
        <v>294</v>
      </c>
      <c r="B120" s="95" t="s">
        <v>12</v>
      </c>
      <c r="C120" s="85" t="s">
        <v>364</v>
      </c>
      <c r="D120" s="85" t="s">
        <v>42</v>
      </c>
      <c r="E120" s="85" t="s">
        <v>295</v>
      </c>
      <c r="F120" s="85" t="s">
        <v>270</v>
      </c>
      <c r="G120" s="85" t="s">
        <v>681</v>
      </c>
      <c r="H120" s="85" t="s">
        <v>80</v>
      </c>
      <c r="I120" s="85" t="s">
        <v>297</v>
      </c>
      <c r="J120" s="87">
        <v>9284</v>
      </c>
      <c r="K120" s="88">
        <v>50941</v>
      </c>
      <c r="L120" s="89" t="s">
        <v>19</v>
      </c>
      <c r="M120" s="85" t="s">
        <v>20</v>
      </c>
      <c r="N120" s="85" t="s">
        <v>668</v>
      </c>
      <c r="O120" s="90">
        <v>0</v>
      </c>
      <c r="P120" s="91"/>
    </row>
    <row r="121" spans="1:16" ht="26.25">
      <c r="A121" s="41" t="s">
        <v>317</v>
      </c>
      <c r="B121" s="95" t="s">
        <v>12</v>
      </c>
      <c r="C121" s="85" t="s">
        <v>137</v>
      </c>
      <c r="D121" s="85" t="s">
        <v>66</v>
      </c>
      <c r="E121" s="85" t="s">
        <v>14</v>
      </c>
      <c r="F121" s="85" t="s">
        <v>134</v>
      </c>
      <c r="G121" s="85" t="s">
        <v>318</v>
      </c>
      <c r="H121" s="85" t="s">
        <v>45</v>
      </c>
      <c r="I121" s="85" t="s">
        <v>319</v>
      </c>
      <c r="J121" s="87">
        <v>884</v>
      </c>
      <c r="K121" s="88">
        <v>42541</v>
      </c>
      <c r="L121" s="89" t="s">
        <v>19</v>
      </c>
      <c r="M121" s="85" t="s">
        <v>21</v>
      </c>
      <c r="N121" s="85" t="s">
        <v>15</v>
      </c>
      <c r="O121" s="90">
        <v>0</v>
      </c>
      <c r="P121" s="91"/>
    </row>
    <row r="122" spans="1:16" ht="26.25">
      <c r="A122" s="41" t="s">
        <v>317</v>
      </c>
      <c r="B122" s="95" t="s">
        <v>12</v>
      </c>
      <c r="C122" s="85" t="s">
        <v>137</v>
      </c>
      <c r="D122" s="85" t="s">
        <v>66</v>
      </c>
      <c r="E122" s="85" t="s">
        <v>14</v>
      </c>
      <c r="F122" s="85" t="s">
        <v>320</v>
      </c>
      <c r="G122" s="85" t="s">
        <v>321</v>
      </c>
      <c r="H122" s="85" t="s">
        <v>45</v>
      </c>
      <c r="I122" s="85" t="s">
        <v>319</v>
      </c>
      <c r="J122" s="87">
        <v>1249</v>
      </c>
      <c r="K122" s="88">
        <v>42906</v>
      </c>
      <c r="L122" s="89" t="s">
        <v>19</v>
      </c>
      <c r="M122" s="85" t="s">
        <v>20</v>
      </c>
      <c r="N122" s="85" t="s">
        <v>15</v>
      </c>
      <c r="O122" s="90">
        <v>0</v>
      </c>
      <c r="P122" s="91"/>
    </row>
    <row r="123" spans="1:16" ht="26.25">
      <c r="A123" s="41" t="s">
        <v>352</v>
      </c>
      <c r="B123" s="95" t="s">
        <v>12</v>
      </c>
      <c r="C123" s="85" t="s">
        <v>356</v>
      </c>
      <c r="D123" s="85" t="s">
        <v>42</v>
      </c>
      <c r="E123" s="85" t="s">
        <v>14</v>
      </c>
      <c r="F123" s="85" t="s">
        <v>259</v>
      </c>
      <c r="G123" s="85" t="s">
        <v>353</v>
      </c>
      <c r="H123" s="85" t="s">
        <v>45</v>
      </c>
      <c r="I123" s="85" t="s">
        <v>354</v>
      </c>
      <c r="J123" s="87">
        <v>1249</v>
      </c>
      <c r="K123" s="88">
        <v>42906</v>
      </c>
      <c r="L123" s="89" t="s">
        <v>19</v>
      </c>
      <c r="M123" s="85" t="s">
        <v>21</v>
      </c>
      <c r="N123" s="85" t="s">
        <v>15</v>
      </c>
      <c r="O123" s="90">
        <v>0</v>
      </c>
      <c r="P123" s="91"/>
    </row>
    <row r="124" spans="1:16" ht="26.25">
      <c r="A124" s="41" t="s">
        <v>202</v>
      </c>
      <c r="B124" s="95" t="s">
        <v>12</v>
      </c>
      <c r="C124" s="85" t="s">
        <v>137</v>
      </c>
      <c r="D124" s="85" t="s">
        <v>54</v>
      </c>
      <c r="E124" s="85" t="s">
        <v>14</v>
      </c>
      <c r="F124" s="85" t="s">
        <v>47</v>
      </c>
      <c r="G124" s="85" t="s">
        <v>203</v>
      </c>
      <c r="H124" s="85" t="s">
        <v>204</v>
      </c>
      <c r="I124" s="85" t="s">
        <v>205</v>
      </c>
      <c r="J124" s="87">
        <v>5642</v>
      </c>
      <c r="K124" s="88">
        <v>47299</v>
      </c>
      <c r="L124" s="89" t="s">
        <v>19</v>
      </c>
      <c r="M124" s="85" t="s">
        <v>21</v>
      </c>
      <c r="N124" s="85" t="s">
        <v>15</v>
      </c>
      <c r="O124" s="90">
        <v>0</v>
      </c>
      <c r="P124" s="91"/>
    </row>
    <row r="125" spans="1:16" ht="26.25">
      <c r="A125" s="41" t="s">
        <v>202</v>
      </c>
      <c r="B125" s="95" t="s">
        <v>12</v>
      </c>
      <c r="C125" s="85" t="s">
        <v>137</v>
      </c>
      <c r="D125" s="85" t="s">
        <v>54</v>
      </c>
      <c r="E125" s="85" t="s">
        <v>14</v>
      </c>
      <c r="F125" s="85" t="s">
        <v>47</v>
      </c>
      <c r="G125" s="85" t="s">
        <v>682</v>
      </c>
      <c r="H125" s="85" t="s">
        <v>204</v>
      </c>
      <c r="I125" s="85" t="s">
        <v>205</v>
      </c>
      <c r="J125" s="87">
        <v>5642</v>
      </c>
      <c r="K125" s="88">
        <v>47299</v>
      </c>
      <c r="L125" s="89" t="s">
        <v>19</v>
      </c>
      <c r="M125" s="85" t="s">
        <v>22</v>
      </c>
      <c r="N125" s="85" t="s">
        <v>15</v>
      </c>
      <c r="O125" s="90">
        <v>0</v>
      </c>
      <c r="P125" s="91"/>
    </row>
    <row r="126" spans="1:16">
      <c r="A126" s="41" t="s">
        <v>634</v>
      </c>
      <c r="B126" s="95" t="s">
        <v>16</v>
      </c>
      <c r="C126" s="85" t="s">
        <v>0</v>
      </c>
      <c r="D126" s="85" t="s">
        <v>54</v>
      </c>
      <c r="E126" s="85" t="s">
        <v>14</v>
      </c>
      <c r="F126" s="85" t="s">
        <v>116</v>
      </c>
      <c r="G126" s="85" t="s">
        <v>635</v>
      </c>
      <c r="H126" s="85" t="s">
        <v>45</v>
      </c>
      <c r="I126" s="85" t="s">
        <v>636</v>
      </c>
      <c r="J126" s="87">
        <v>609</v>
      </c>
      <c r="K126" s="88">
        <v>42266</v>
      </c>
      <c r="L126" s="89"/>
      <c r="M126" s="85" t="s">
        <v>20</v>
      </c>
      <c r="N126" s="85" t="s">
        <v>15</v>
      </c>
      <c r="O126" s="90">
        <v>0</v>
      </c>
      <c r="P126" s="91">
        <v>0.03</v>
      </c>
    </row>
    <row r="127" spans="1:16">
      <c r="A127" s="41" t="s">
        <v>634</v>
      </c>
      <c r="B127" s="95" t="s">
        <v>16</v>
      </c>
      <c r="C127" s="85" t="s">
        <v>0</v>
      </c>
      <c r="D127" s="85" t="s">
        <v>54</v>
      </c>
      <c r="E127" s="85" t="s">
        <v>14</v>
      </c>
      <c r="F127" s="85" t="s">
        <v>99</v>
      </c>
      <c r="G127" s="85" t="s">
        <v>637</v>
      </c>
      <c r="H127" s="85" t="s">
        <v>45</v>
      </c>
      <c r="I127" s="85" t="s">
        <v>636</v>
      </c>
      <c r="J127" s="87">
        <v>609</v>
      </c>
      <c r="K127" s="88">
        <v>42266</v>
      </c>
      <c r="L127" s="89"/>
      <c r="M127" s="85" t="s">
        <v>21</v>
      </c>
      <c r="N127" s="85" t="s">
        <v>15</v>
      </c>
      <c r="O127" s="90">
        <v>0</v>
      </c>
      <c r="P127" s="91">
        <v>0.03</v>
      </c>
    </row>
    <row r="128" spans="1:16">
      <c r="A128" s="41" t="s">
        <v>634</v>
      </c>
      <c r="B128" s="95" t="s">
        <v>16</v>
      </c>
      <c r="C128" s="85" t="s">
        <v>0</v>
      </c>
      <c r="D128" s="85" t="s">
        <v>54</v>
      </c>
      <c r="E128" s="85" t="s">
        <v>14</v>
      </c>
      <c r="F128" s="85" t="s">
        <v>99</v>
      </c>
      <c r="G128" s="85" t="s">
        <v>683</v>
      </c>
      <c r="H128" s="85" t="s">
        <v>45</v>
      </c>
      <c r="I128" s="85" t="s">
        <v>636</v>
      </c>
      <c r="J128" s="87">
        <v>609</v>
      </c>
      <c r="K128" s="88">
        <v>42266</v>
      </c>
      <c r="L128" s="89"/>
      <c r="M128" s="85" t="s">
        <v>20</v>
      </c>
      <c r="N128" s="85" t="s">
        <v>15</v>
      </c>
      <c r="O128" s="90">
        <v>0</v>
      </c>
      <c r="P128" s="91">
        <v>0.03</v>
      </c>
    </row>
    <row r="129" spans="1:16">
      <c r="A129" s="41" t="s">
        <v>442</v>
      </c>
      <c r="B129" s="95" t="s">
        <v>16</v>
      </c>
      <c r="C129" s="85" t="s">
        <v>0</v>
      </c>
      <c r="D129" s="85" t="s">
        <v>42</v>
      </c>
      <c r="E129" s="85" t="s">
        <v>14</v>
      </c>
      <c r="F129" s="85" t="s">
        <v>196</v>
      </c>
      <c r="G129" s="85" t="s">
        <v>443</v>
      </c>
      <c r="H129" s="85" t="s">
        <v>45</v>
      </c>
      <c r="I129" s="85" t="s">
        <v>444</v>
      </c>
      <c r="J129" s="87">
        <v>243</v>
      </c>
      <c r="K129" s="88">
        <v>41900</v>
      </c>
      <c r="L129" s="89"/>
      <c r="M129" s="85" t="s">
        <v>22</v>
      </c>
      <c r="N129" s="85" t="s">
        <v>15</v>
      </c>
      <c r="O129" s="90">
        <v>1E-3</v>
      </c>
      <c r="P129" s="91">
        <v>0.05</v>
      </c>
    </row>
    <row r="130" spans="1:16">
      <c r="A130" s="41" t="s">
        <v>442</v>
      </c>
      <c r="B130" s="95" t="s">
        <v>16</v>
      </c>
      <c r="C130" s="85" t="s">
        <v>0</v>
      </c>
      <c r="D130" s="85" t="s">
        <v>42</v>
      </c>
      <c r="E130" s="85" t="s">
        <v>14</v>
      </c>
      <c r="F130" s="85" t="s">
        <v>373</v>
      </c>
      <c r="G130" s="85" t="s">
        <v>445</v>
      </c>
      <c r="H130" s="85" t="s">
        <v>45</v>
      </c>
      <c r="I130" s="85" t="s">
        <v>444</v>
      </c>
      <c r="J130" s="87">
        <v>609</v>
      </c>
      <c r="K130" s="88">
        <v>42266</v>
      </c>
      <c r="L130" s="89"/>
      <c r="M130" s="85" t="s">
        <v>52</v>
      </c>
      <c r="N130" s="85" t="s">
        <v>15</v>
      </c>
      <c r="O130" s="90">
        <v>1E-3</v>
      </c>
      <c r="P130" s="91">
        <v>0.05</v>
      </c>
    </row>
    <row r="131" spans="1:16">
      <c r="A131" s="41" t="s">
        <v>442</v>
      </c>
      <c r="B131" s="95" t="s">
        <v>16</v>
      </c>
      <c r="C131" s="85" t="s">
        <v>356</v>
      </c>
      <c r="D131" s="85" t="s">
        <v>110</v>
      </c>
      <c r="E131" s="85" t="s">
        <v>14</v>
      </c>
      <c r="F131" s="85" t="s">
        <v>371</v>
      </c>
      <c r="G131" s="85" t="s">
        <v>446</v>
      </c>
      <c r="H131" s="85" t="s">
        <v>45</v>
      </c>
      <c r="I131" s="85" t="s">
        <v>444</v>
      </c>
      <c r="J131" s="87">
        <v>334</v>
      </c>
      <c r="K131" s="88">
        <v>41991</v>
      </c>
      <c r="L131" s="89"/>
      <c r="M131" s="85" t="s">
        <v>20</v>
      </c>
      <c r="N131" s="85" t="s">
        <v>15</v>
      </c>
      <c r="O131" s="90">
        <v>1E-3</v>
      </c>
      <c r="P131" s="91">
        <v>0.05</v>
      </c>
    </row>
    <row r="132" spans="1:16" ht="26.25">
      <c r="A132" s="41" t="s">
        <v>180</v>
      </c>
      <c r="B132" s="95" t="s">
        <v>12</v>
      </c>
      <c r="C132" s="85" t="s">
        <v>137</v>
      </c>
      <c r="D132" s="85" t="s">
        <v>42</v>
      </c>
      <c r="E132" s="85" t="s">
        <v>14</v>
      </c>
      <c r="F132" s="85" t="s">
        <v>119</v>
      </c>
      <c r="G132" s="85" t="s">
        <v>181</v>
      </c>
      <c r="H132" s="85" t="s">
        <v>45</v>
      </c>
      <c r="I132" s="85" t="s">
        <v>182</v>
      </c>
      <c r="J132" s="87">
        <v>518</v>
      </c>
      <c r="K132" s="88">
        <v>42175</v>
      </c>
      <c r="L132" s="89" t="s">
        <v>19</v>
      </c>
      <c r="M132" s="85" t="s">
        <v>21</v>
      </c>
      <c r="N132" s="85" t="s">
        <v>15</v>
      </c>
      <c r="O132" s="90">
        <v>1E-3</v>
      </c>
      <c r="P132" s="91"/>
    </row>
    <row r="133" spans="1:16" ht="26.25">
      <c r="A133" s="41" t="s">
        <v>180</v>
      </c>
      <c r="B133" s="95" t="s">
        <v>12</v>
      </c>
      <c r="C133" s="85" t="s">
        <v>137</v>
      </c>
      <c r="D133" s="85" t="s">
        <v>42</v>
      </c>
      <c r="E133" s="85" t="s">
        <v>14</v>
      </c>
      <c r="F133" s="85" t="s">
        <v>183</v>
      </c>
      <c r="G133" s="85" t="s">
        <v>184</v>
      </c>
      <c r="H133" s="85" t="s">
        <v>45</v>
      </c>
      <c r="I133" s="85" t="s">
        <v>182</v>
      </c>
      <c r="J133" s="87">
        <v>1002</v>
      </c>
      <c r="K133" s="88">
        <v>42659</v>
      </c>
      <c r="L133" s="89" t="s">
        <v>19</v>
      </c>
      <c r="M133" s="85" t="s">
        <v>22</v>
      </c>
      <c r="N133" s="85" t="s">
        <v>15</v>
      </c>
      <c r="O133" s="90">
        <v>1E-3</v>
      </c>
      <c r="P133" s="91"/>
    </row>
    <row r="134" spans="1:16" ht="26.25">
      <c r="A134" s="41" t="s">
        <v>348</v>
      </c>
      <c r="B134" s="95" t="s">
        <v>12</v>
      </c>
      <c r="C134" s="85" t="s">
        <v>137</v>
      </c>
      <c r="D134" s="85" t="s">
        <v>42</v>
      </c>
      <c r="E134" s="85" t="s">
        <v>14</v>
      </c>
      <c r="F134" s="85" t="s">
        <v>165</v>
      </c>
      <c r="G134" s="85" t="s">
        <v>349</v>
      </c>
      <c r="H134" s="85" t="s">
        <v>45</v>
      </c>
      <c r="I134" s="85" t="s">
        <v>350</v>
      </c>
      <c r="J134" s="87">
        <v>518</v>
      </c>
      <c r="K134" s="88">
        <v>42175</v>
      </c>
      <c r="L134" s="89" t="s">
        <v>19</v>
      </c>
      <c r="M134" s="85" t="s">
        <v>21</v>
      </c>
      <c r="N134" s="85" t="s">
        <v>15</v>
      </c>
      <c r="O134" s="90">
        <v>0</v>
      </c>
      <c r="P134" s="91"/>
    </row>
    <row r="135" spans="1:16" ht="26.25">
      <c r="A135" s="41" t="s">
        <v>348</v>
      </c>
      <c r="B135" s="95" t="s">
        <v>12</v>
      </c>
      <c r="C135" s="85" t="s">
        <v>137</v>
      </c>
      <c r="D135" s="85" t="s">
        <v>42</v>
      </c>
      <c r="E135" s="85" t="s">
        <v>14</v>
      </c>
      <c r="F135" s="85" t="s">
        <v>47</v>
      </c>
      <c r="G135" s="85" t="s">
        <v>351</v>
      </c>
      <c r="H135" s="85" t="s">
        <v>45</v>
      </c>
      <c r="I135" s="85" t="s">
        <v>350</v>
      </c>
      <c r="J135" s="87">
        <v>1249</v>
      </c>
      <c r="K135" s="88">
        <v>42906</v>
      </c>
      <c r="L135" s="89" t="s">
        <v>19</v>
      </c>
      <c r="M135" s="85" t="s">
        <v>20</v>
      </c>
      <c r="N135" s="85" t="s">
        <v>15</v>
      </c>
      <c r="O135" s="90">
        <v>0</v>
      </c>
      <c r="P135" s="91"/>
    </row>
    <row r="136" spans="1:16">
      <c r="A136" s="41" t="s">
        <v>84</v>
      </c>
      <c r="B136" s="95" t="s">
        <v>16</v>
      </c>
      <c r="C136" s="85" t="s">
        <v>0</v>
      </c>
      <c r="D136" s="85" t="s">
        <v>42</v>
      </c>
      <c r="E136" s="85" t="s">
        <v>14</v>
      </c>
      <c r="F136" s="85" t="s">
        <v>82</v>
      </c>
      <c r="G136" s="85" t="s">
        <v>85</v>
      </c>
      <c r="H136" s="85" t="s">
        <v>45</v>
      </c>
      <c r="I136" s="85" t="s">
        <v>86</v>
      </c>
      <c r="J136" s="87">
        <v>275</v>
      </c>
      <c r="K136" s="88">
        <v>41932</v>
      </c>
      <c r="L136" s="89"/>
      <c r="M136" s="85" t="s">
        <v>22</v>
      </c>
      <c r="N136" s="85" t="s">
        <v>15</v>
      </c>
      <c r="O136" s="90">
        <v>1E-3</v>
      </c>
      <c r="P136" s="91">
        <v>0.05</v>
      </c>
    </row>
    <row r="137" spans="1:16">
      <c r="A137" s="41" t="s">
        <v>84</v>
      </c>
      <c r="B137" s="95" t="s">
        <v>16</v>
      </c>
      <c r="C137" s="85" t="s">
        <v>0</v>
      </c>
      <c r="D137" s="85" t="s">
        <v>42</v>
      </c>
      <c r="E137" s="85" t="s">
        <v>14</v>
      </c>
      <c r="F137" s="85" t="s">
        <v>87</v>
      </c>
      <c r="G137" s="85" t="s">
        <v>88</v>
      </c>
      <c r="H137" s="85" t="s">
        <v>45</v>
      </c>
      <c r="I137" s="85" t="s">
        <v>86</v>
      </c>
      <c r="J137" s="87">
        <v>1006</v>
      </c>
      <c r="K137" s="88">
        <v>42663</v>
      </c>
      <c r="L137" s="89"/>
      <c r="M137" s="85" t="s">
        <v>52</v>
      </c>
      <c r="N137" s="85" t="s">
        <v>15</v>
      </c>
      <c r="O137" s="90">
        <v>0</v>
      </c>
      <c r="P137" s="91">
        <v>0.05</v>
      </c>
    </row>
    <row r="138" spans="1:16" ht="26.25">
      <c r="A138" s="41" t="s">
        <v>239</v>
      </c>
      <c r="B138" s="95" t="s">
        <v>12</v>
      </c>
      <c r="C138" s="85" t="s">
        <v>364</v>
      </c>
      <c r="D138" s="85" t="s">
        <v>54</v>
      </c>
      <c r="E138" s="85" t="s">
        <v>14</v>
      </c>
      <c r="F138" s="85" t="s">
        <v>134</v>
      </c>
      <c r="G138" s="85" t="s">
        <v>240</v>
      </c>
      <c r="H138" s="85" t="s">
        <v>45</v>
      </c>
      <c r="I138" s="85" t="s">
        <v>241</v>
      </c>
      <c r="J138" s="87">
        <v>518</v>
      </c>
      <c r="K138" s="88">
        <v>42175</v>
      </c>
      <c r="L138" s="89" t="s">
        <v>19</v>
      </c>
      <c r="M138" s="85" t="s">
        <v>21</v>
      </c>
      <c r="N138" s="85" t="s">
        <v>15</v>
      </c>
      <c r="O138" s="90">
        <v>0</v>
      </c>
      <c r="P138" s="91"/>
    </row>
    <row r="139" spans="1:16" ht="26.25">
      <c r="A139" s="41" t="s">
        <v>239</v>
      </c>
      <c r="B139" s="95" t="s">
        <v>12</v>
      </c>
      <c r="C139" s="85" t="s">
        <v>364</v>
      </c>
      <c r="D139" s="85" t="s">
        <v>54</v>
      </c>
      <c r="E139" s="85" t="s">
        <v>14</v>
      </c>
      <c r="F139" s="85" t="s">
        <v>242</v>
      </c>
      <c r="G139" s="85" t="s">
        <v>243</v>
      </c>
      <c r="H139" s="85" t="s">
        <v>45</v>
      </c>
      <c r="I139" s="85" t="s">
        <v>241</v>
      </c>
      <c r="J139" s="87">
        <v>518</v>
      </c>
      <c r="K139" s="88">
        <v>42175</v>
      </c>
      <c r="L139" s="89" t="s">
        <v>19</v>
      </c>
      <c r="M139" s="85" t="s">
        <v>22</v>
      </c>
      <c r="N139" s="85" t="s">
        <v>15</v>
      </c>
      <c r="O139" s="90">
        <v>0</v>
      </c>
      <c r="P139" s="91"/>
    </row>
    <row r="140" spans="1:16">
      <c r="A140" s="41" t="s">
        <v>404</v>
      </c>
      <c r="B140" s="95" t="s">
        <v>16</v>
      </c>
      <c r="C140" s="85" t="s">
        <v>186</v>
      </c>
      <c r="D140" s="85" t="s">
        <v>66</v>
      </c>
      <c r="E140" s="85" t="s">
        <v>14</v>
      </c>
      <c r="F140" s="85" t="s">
        <v>377</v>
      </c>
      <c r="G140" s="85" t="s">
        <v>405</v>
      </c>
      <c r="H140" s="85" t="s">
        <v>45</v>
      </c>
      <c r="I140" s="85" t="s">
        <v>406</v>
      </c>
      <c r="J140" s="87">
        <v>1019</v>
      </c>
      <c r="K140" s="88">
        <v>42676</v>
      </c>
      <c r="L140" s="89"/>
      <c r="M140" s="85" t="s">
        <v>52</v>
      </c>
      <c r="N140" s="85" t="s">
        <v>15</v>
      </c>
      <c r="O140" s="90">
        <v>1E-3</v>
      </c>
      <c r="P140" s="91">
        <v>0.05</v>
      </c>
    </row>
    <row r="141" spans="1:16">
      <c r="A141" s="41" t="s">
        <v>463</v>
      </c>
      <c r="B141" s="95" t="s">
        <v>16</v>
      </c>
      <c r="C141" s="85" t="s">
        <v>137</v>
      </c>
      <c r="D141" s="85" t="s">
        <v>66</v>
      </c>
      <c r="E141" s="85" t="s">
        <v>14</v>
      </c>
      <c r="F141" s="85" t="s">
        <v>384</v>
      </c>
      <c r="G141" s="85" t="s">
        <v>466</v>
      </c>
      <c r="H141" s="85" t="s">
        <v>45</v>
      </c>
      <c r="I141" s="85" t="s">
        <v>465</v>
      </c>
      <c r="J141" s="87">
        <v>1002</v>
      </c>
      <c r="K141" s="88">
        <v>42659</v>
      </c>
      <c r="L141" s="89"/>
      <c r="M141" s="85" t="s">
        <v>22</v>
      </c>
      <c r="N141" s="85" t="s">
        <v>15</v>
      </c>
      <c r="O141" s="90">
        <v>1E-3</v>
      </c>
      <c r="P141" s="91">
        <v>0.05</v>
      </c>
    </row>
    <row r="142" spans="1:16">
      <c r="A142" s="41" t="s">
        <v>463</v>
      </c>
      <c r="B142" s="95" t="s">
        <v>16</v>
      </c>
      <c r="C142" s="85" t="s">
        <v>137</v>
      </c>
      <c r="D142" s="85" t="s">
        <v>66</v>
      </c>
      <c r="E142" s="85" t="s">
        <v>14</v>
      </c>
      <c r="F142" s="85" t="s">
        <v>151</v>
      </c>
      <c r="G142" s="85" t="s">
        <v>467</v>
      </c>
      <c r="H142" s="85" t="s">
        <v>45</v>
      </c>
      <c r="I142" s="85" t="s">
        <v>465</v>
      </c>
      <c r="J142" s="87">
        <v>518</v>
      </c>
      <c r="K142" s="88">
        <v>42175</v>
      </c>
      <c r="L142" s="89"/>
      <c r="M142" s="85" t="s">
        <v>52</v>
      </c>
      <c r="N142" s="85" t="s">
        <v>15</v>
      </c>
      <c r="O142" s="90">
        <v>1E-3</v>
      </c>
      <c r="P142" s="91">
        <v>0.05</v>
      </c>
    </row>
    <row r="143" spans="1:16">
      <c r="A143" s="41" t="s">
        <v>551</v>
      </c>
      <c r="B143" s="95" t="s">
        <v>16</v>
      </c>
      <c r="C143" s="85" t="s">
        <v>137</v>
      </c>
      <c r="D143" s="85" t="s">
        <v>66</v>
      </c>
      <c r="E143" s="85" t="s">
        <v>14</v>
      </c>
      <c r="F143" s="85" t="s">
        <v>234</v>
      </c>
      <c r="G143" s="85" t="s">
        <v>552</v>
      </c>
      <c r="H143" s="85" t="s">
        <v>45</v>
      </c>
      <c r="I143" s="85" t="s">
        <v>553</v>
      </c>
      <c r="J143" s="87">
        <v>1017</v>
      </c>
      <c r="K143" s="88">
        <v>42674</v>
      </c>
      <c r="L143" s="89"/>
      <c r="M143" s="85" t="s">
        <v>20</v>
      </c>
      <c r="N143" s="85" t="s">
        <v>15</v>
      </c>
      <c r="O143" s="90">
        <v>1E-3</v>
      </c>
      <c r="P143" s="91">
        <v>0.05</v>
      </c>
    </row>
    <row r="144" spans="1:16">
      <c r="A144" s="41" t="s">
        <v>400</v>
      </c>
      <c r="B144" s="95" t="s">
        <v>16</v>
      </c>
      <c r="C144" s="85" t="s">
        <v>0</v>
      </c>
      <c r="D144" s="85" t="s">
        <v>54</v>
      </c>
      <c r="E144" s="85" t="s">
        <v>370</v>
      </c>
      <c r="F144" s="85" t="s">
        <v>401</v>
      </c>
      <c r="G144" s="85" t="s">
        <v>402</v>
      </c>
      <c r="H144" s="85" t="s">
        <v>132</v>
      </c>
      <c r="I144" s="85" t="s">
        <v>403</v>
      </c>
      <c r="J144" s="87">
        <v>304</v>
      </c>
      <c r="K144" s="88">
        <v>41961</v>
      </c>
      <c r="L144" s="89"/>
      <c r="M144" s="85" t="s">
        <v>22</v>
      </c>
      <c r="N144" s="85" t="s">
        <v>2</v>
      </c>
      <c r="O144" s="90">
        <v>1E-3</v>
      </c>
      <c r="P144" s="91">
        <v>0.05</v>
      </c>
    </row>
    <row r="145" spans="1:16">
      <c r="A145" s="41" t="s">
        <v>412</v>
      </c>
      <c r="B145" s="95" t="s">
        <v>16</v>
      </c>
      <c r="C145" s="85" t="s">
        <v>0</v>
      </c>
      <c r="D145" s="85" t="s">
        <v>66</v>
      </c>
      <c r="E145" s="85" t="s">
        <v>14</v>
      </c>
      <c r="F145" s="85" t="s">
        <v>82</v>
      </c>
      <c r="G145" s="85" t="s">
        <v>413</v>
      </c>
      <c r="H145" s="85" t="s">
        <v>45</v>
      </c>
      <c r="I145" s="85" t="s">
        <v>414</v>
      </c>
      <c r="J145" s="87">
        <v>320</v>
      </c>
      <c r="K145" s="88">
        <v>41977</v>
      </c>
      <c r="L145" s="89"/>
      <c r="M145" s="85" t="s">
        <v>52</v>
      </c>
      <c r="N145" s="85" t="s">
        <v>15</v>
      </c>
      <c r="O145" s="90">
        <v>1E-3</v>
      </c>
      <c r="P145" s="91">
        <v>0.05</v>
      </c>
    </row>
    <row r="146" spans="1:16">
      <c r="A146" s="41" t="s">
        <v>412</v>
      </c>
      <c r="B146" s="95" t="s">
        <v>16</v>
      </c>
      <c r="C146" s="85" t="s">
        <v>0</v>
      </c>
      <c r="D146" s="85" t="s">
        <v>66</v>
      </c>
      <c r="E146" s="85" t="s">
        <v>14</v>
      </c>
      <c r="F146" s="85" t="s">
        <v>82</v>
      </c>
      <c r="G146" s="85" t="s">
        <v>415</v>
      </c>
      <c r="H146" s="85" t="s">
        <v>45</v>
      </c>
      <c r="I146" s="85" t="s">
        <v>414</v>
      </c>
      <c r="J146" s="87">
        <v>686</v>
      </c>
      <c r="K146" s="88">
        <v>42343</v>
      </c>
      <c r="L146" s="89"/>
      <c r="M146" s="85" t="s">
        <v>20</v>
      </c>
      <c r="N146" s="85" t="s">
        <v>15</v>
      </c>
      <c r="O146" s="90">
        <v>1E-3</v>
      </c>
      <c r="P146" s="91">
        <v>0.05</v>
      </c>
    </row>
    <row r="147" spans="1:16">
      <c r="A147" s="41" t="s">
        <v>412</v>
      </c>
      <c r="B147" s="95" t="s">
        <v>16</v>
      </c>
      <c r="C147" s="85" t="s">
        <v>0</v>
      </c>
      <c r="D147" s="85" t="s">
        <v>66</v>
      </c>
      <c r="E147" s="85" t="s">
        <v>14</v>
      </c>
      <c r="F147" s="85" t="s">
        <v>192</v>
      </c>
      <c r="G147" s="85" t="s">
        <v>416</v>
      </c>
      <c r="H147" s="85" t="s">
        <v>45</v>
      </c>
      <c r="I147" s="85" t="s">
        <v>414</v>
      </c>
      <c r="J147" s="87">
        <v>686</v>
      </c>
      <c r="K147" s="88">
        <v>42343</v>
      </c>
      <c r="L147" s="89"/>
      <c r="M147" s="85" t="s">
        <v>21</v>
      </c>
      <c r="N147" s="85" t="s">
        <v>15</v>
      </c>
      <c r="O147" s="90">
        <v>1E-3</v>
      </c>
      <c r="P147" s="91">
        <v>0.05</v>
      </c>
    </row>
    <row r="148" spans="1:16" ht="26.25">
      <c r="A148" s="41" t="s">
        <v>291</v>
      </c>
      <c r="B148" s="95" t="s">
        <v>12</v>
      </c>
      <c r="C148" s="85" t="s">
        <v>137</v>
      </c>
      <c r="D148" s="85" t="s">
        <v>42</v>
      </c>
      <c r="E148" s="85" t="s">
        <v>14</v>
      </c>
      <c r="F148" s="85" t="s">
        <v>259</v>
      </c>
      <c r="G148" s="85" t="s">
        <v>292</v>
      </c>
      <c r="H148" s="85" t="s">
        <v>45</v>
      </c>
      <c r="I148" s="85" t="s">
        <v>293</v>
      </c>
      <c r="J148" s="87">
        <v>1249</v>
      </c>
      <c r="K148" s="88">
        <v>42906</v>
      </c>
      <c r="L148" s="89" t="s">
        <v>19</v>
      </c>
      <c r="M148" s="85" t="s">
        <v>20</v>
      </c>
      <c r="N148" s="85" t="s">
        <v>15</v>
      </c>
      <c r="O148" s="90">
        <v>0</v>
      </c>
      <c r="P148" s="91"/>
    </row>
    <row r="149" spans="1:16" ht="26.25">
      <c r="A149" s="41" t="s">
        <v>130</v>
      </c>
      <c r="B149" s="95" t="s">
        <v>12</v>
      </c>
      <c r="C149" s="85" t="s">
        <v>364</v>
      </c>
      <c r="D149" s="85" t="s">
        <v>66</v>
      </c>
      <c r="E149" s="85" t="s">
        <v>370</v>
      </c>
      <c r="F149" s="85" t="s">
        <v>106</v>
      </c>
      <c r="G149" s="85" t="s">
        <v>131</v>
      </c>
      <c r="H149" s="85" t="s">
        <v>132</v>
      </c>
      <c r="I149" s="85" t="s">
        <v>133</v>
      </c>
      <c r="J149" s="87">
        <v>304</v>
      </c>
      <c r="K149" s="88">
        <v>41961</v>
      </c>
      <c r="L149" s="89" t="s">
        <v>19</v>
      </c>
      <c r="M149" s="85" t="s">
        <v>21</v>
      </c>
      <c r="N149" s="85" t="s">
        <v>2</v>
      </c>
      <c r="O149" s="90">
        <v>1E-3</v>
      </c>
      <c r="P149" s="91"/>
    </row>
    <row r="150" spans="1:16" ht="26.25">
      <c r="A150" s="41" t="s">
        <v>328</v>
      </c>
      <c r="B150" s="95" t="s">
        <v>12</v>
      </c>
      <c r="C150" s="85" t="s">
        <v>186</v>
      </c>
      <c r="D150" s="85" t="s">
        <v>66</v>
      </c>
      <c r="E150" s="85" t="s">
        <v>61</v>
      </c>
      <c r="F150" s="85" t="s">
        <v>329</v>
      </c>
      <c r="G150" s="85" t="s">
        <v>330</v>
      </c>
      <c r="H150" s="85" t="s">
        <v>188</v>
      </c>
      <c r="I150" s="85" t="s">
        <v>331</v>
      </c>
      <c r="J150" s="87">
        <v>325</v>
      </c>
      <c r="K150" s="88">
        <v>41982</v>
      </c>
      <c r="L150" s="89" t="s">
        <v>19</v>
      </c>
      <c r="M150" s="85" t="s">
        <v>21</v>
      </c>
      <c r="N150" s="85" t="s">
        <v>660</v>
      </c>
      <c r="O150" s="90">
        <v>0</v>
      </c>
      <c r="P150" s="91"/>
    </row>
    <row r="151" spans="1:16" ht="26.25">
      <c r="A151" s="41" t="s">
        <v>328</v>
      </c>
      <c r="B151" s="95" t="s">
        <v>12</v>
      </c>
      <c r="C151" s="85" t="s">
        <v>364</v>
      </c>
      <c r="D151" s="85" t="s">
        <v>66</v>
      </c>
      <c r="E151" s="85" t="s">
        <v>61</v>
      </c>
      <c r="F151" s="85" t="s">
        <v>276</v>
      </c>
      <c r="G151" s="85" t="s">
        <v>332</v>
      </c>
      <c r="H151" s="85" t="s">
        <v>188</v>
      </c>
      <c r="I151" s="85" t="s">
        <v>331</v>
      </c>
      <c r="J151" s="87">
        <v>1</v>
      </c>
      <c r="K151" s="88">
        <v>41658</v>
      </c>
      <c r="L151" s="89" t="s">
        <v>19</v>
      </c>
      <c r="M151" s="85" t="s">
        <v>22</v>
      </c>
      <c r="N151" s="85" t="s">
        <v>660</v>
      </c>
      <c r="O151" s="90">
        <v>0</v>
      </c>
      <c r="P151" s="91"/>
    </row>
    <row r="152" spans="1:16" ht="26.25">
      <c r="A152" s="41" t="s">
        <v>206</v>
      </c>
      <c r="B152" s="95" t="s">
        <v>12</v>
      </c>
      <c r="C152" s="85" t="s">
        <v>364</v>
      </c>
      <c r="D152" s="85">
        <v>3</v>
      </c>
      <c r="E152" s="85" t="s">
        <v>61</v>
      </c>
      <c r="F152" s="85" t="s">
        <v>207</v>
      </c>
      <c r="G152" s="85" t="s">
        <v>208</v>
      </c>
      <c r="H152" s="85" t="s">
        <v>209</v>
      </c>
      <c r="I152" s="85" t="s">
        <v>210</v>
      </c>
      <c r="J152" s="87">
        <v>1015</v>
      </c>
      <c r="K152" s="88">
        <v>42672</v>
      </c>
      <c r="L152" s="89" t="s">
        <v>19</v>
      </c>
      <c r="M152" s="85" t="s">
        <v>52</v>
      </c>
      <c r="N152" s="85" t="s">
        <v>660</v>
      </c>
      <c r="O152" s="90">
        <v>0</v>
      </c>
      <c r="P152" s="91"/>
    </row>
    <row r="153" spans="1:16">
      <c r="A153" s="41" t="s">
        <v>89</v>
      </c>
      <c r="B153" s="95" t="s">
        <v>16</v>
      </c>
      <c r="C153" s="85" t="s">
        <v>356</v>
      </c>
      <c r="D153" s="85" t="s">
        <v>60</v>
      </c>
      <c r="E153" s="85" t="s">
        <v>14</v>
      </c>
      <c r="F153" s="85" t="s">
        <v>90</v>
      </c>
      <c r="G153" s="85" t="s">
        <v>91</v>
      </c>
      <c r="H153" s="85" t="s">
        <v>45</v>
      </c>
      <c r="I153" s="85" t="s">
        <v>92</v>
      </c>
      <c r="J153" s="87">
        <v>1249</v>
      </c>
      <c r="K153" s="88">
        <v>42906</v>
      </c>
      <c r="L153" s="89"/>
      <c r="M153" s="85" t="s">
        <v>21</v>
      </c>
      <c r="N153" s="85" t="s">
        <v>15</v>
      </c>
      <c r="O153" s="90">
        <v>1E-3</v>
      </c>
      <c r="P153" s="91">
        <v>0.05</v>
      </c>
    </row>
    <row r="154" spans="1:16" ht="26.25">
      <c r="A154" s="41" t="s">
        <v>59</v>
      </c>
      <c r="B154" s="95" t="s">
        <v>12</v>
      </c>
      <c r="C154" s="85" t="s">
        <v>364</v>
      </c>
      <c r="D154" s="85">
        <v>3</v>
      </c>
      <c r="E154" s="85" t="s">
        <v>61</v>
      </c>
      <c r="F154" s="85">
        <v>100</v>
      </c>
      <c r="G154" s="85" t="s">
        <v>62</v>
      </c>
      <c r="H154" s="85" t="s">
        <v>63</v>
      </c>
      <c r="I154" s="85" t="s">
        <v>64</v>
      </c>
      <c r="J154" s="87">
        <v>1249</v>
      </c>
      <c r="K154" s="88">
        <v>42906</v>
      </c>
      <c r="L154" s="89" t="s">
        <v>19</v>
      </c>
      <c r="M154" s="85" t="s">
        <v>21</v>
      </c>
      <c r="N154" s="85" t="s">
        <v>660</v>
      </c>
      <c r="O154" s="90">
        <v>1E-3</v>
      </c>
      <c r="P154" s="91"/>
    </row>
    <row r="155" spans="1:16" ht="26.25">
      <c r="A155" s="41" t="s">
        <v>308</v>
      </c>
      <c r="B155" s="95" t="s">
        <v>12</v>
      </c>
      <c r="C155" s="85" t="s">
        <v>364</v>
      </c>
      <c r="D155" s="85" t="s">
        <v>54</v>
      </c>
      <c r="E155" s="85" t="s">
        <v>61</v>
      </c>
      <c r="F155" s="85" t="s">
        <v>311</v>
      </c>
      <c r="G155" s="85" t="s">
        <v>312</v>
      </c>
      <c r="H155" s="85" t="s">
        <v>188</v>
      </c>
      <c r="I155" s="85" t="s">
        <v>310</v>
      </c>
      <c r="J155" s="87">
        <v>354</v>
      </c>
      <c r="K155" s="88">
        <v>42011</v>
      </c>
      <c r="L155" s="89" t="s">
        <v>19</v>
      </c>
      <c r="M155" s="85" t="s">
        <v>21</v>
      </c>
      <c r="N155" s="85" t="s">
        <v>660</v>
      </c>
      <c r="O155" s="90">
        <v>0</v>
      </c>
      <c r="P155" s="91"/>
    </row>
    <row r="156" spans="1:16">
      <c r="A156" s="41" t="s">
        <v>93</v>
      </c>
      <c r="B156" s="95" t="s">
        <v>16</v>
      </c>
      <c r="C156" s="85" t="s">
        <v>186</v>
      </c>
      <c r="D156" s="85" t="s">
        <v>66</v>
      </c>
      <c r="E156" s="85" t="s">
        <v>14</v>
      </c>
      <c r="F156" s="85" t="s">
        <v>94</v>
      </c>
      <c r="G156" s="85" t="s">
        <v>95</v>
      </c>
      <c r="H156" s="85" t="s">
        <v>45</v>
      </c>
      <c r="I156" s="85" t="s">
        <v>96</v>
      </c>
      <c r="J156" s="87">
        <v>411</v>
      </c>
      <c r="K156" s="88">
        <v>42068</v>
      </c>
      <c r="L156" s="89"/>
      <c r="M156" s="85" t="s">
        <v>22</v>
      </c>
      <c r="N156" s="85" t="s">
        <v>15</v>
      </c>
      <c r="O156" s="90">
        <v>1E-3</v>
      </c>
      <c r="P156" s="91">
        <v>0.05</v>
      </c>
    </row>
    <row r="157" spans="1:16">
      <c r="A157" s="41" t="s">
        <v>93</v>
      </c>
      <c r="B157" s="95" t="s">
        <v>16</v>
      </c>
      <c r="C157" s="85" t="s">
        <v>186</v>
      </c>
      <c r="D157" s="85" t="s">
        <v>66</v>
      </c>
      <c r="E157" s="85" t="s">
        <v>14</v>
      </c>
      <c r="F157" s="85" t="s">
        <v>97</v>
      </c>
      <c r="G157" s="85" t="s">
        <v>98</v>
      </c>
      <c r="H157" s="85" t="s">
        <v>45</v>
      </c>
      <c r="I157" s="85" t="s">
        <v>96</v>
      </c>
      <c r="J157" s="87">
        <v>777</v>
      </c>
      <c r="K157" s="88">
        <v>42434</v>
      </c>
      <c r="L157" s="89"/>
      <c r="M157" s="85" t="s">
        <v>52</v>
      </c>
      <c r="N157" s="85" t="s">
        <v>15</v>
      </c>
      <c r="O157" s="90">
        <v>1E-3</v>
      </c>
      <c r="P157" s="91">
        <v>0.05</v>
      </c>
    </row>
    <row r="158" spans="1:16" ht="26.25">
      <c r="A158" s="41" t="s">
        <v>73</v>
      </c>
      <c r="B158" s="95" t="s">
        <v>12</v>
      </c>
      <c r="C158" s="85" t="s">
        <v>0</v>
      </c>
      <c r="D158" s="85" t="s">
        <v>54</v>
      </c>
      <c r="E158" s="85" t="s">
        <v>14</v>
      </c>
      <c r="F158" s="85" t="s">
        <v>74</v>
      </c>
      <c r="G158" s="85" t="s">
        <v>75</v>
      </c>
      <c r="H158" s="85" t="s">
        <v>45</v>
      </c>
      <c r="I158" s="85" t="s">
        <v>76</v>
      </c>
      <c r="J158" s="87">
        <v>1162</v>
      </c>
      <c r="K158" s="88">
        <v>42819</v>
      </c>
      <c r="L158" s="89" t="s">
        <v>19</v>
      </c>
      <c r="M158" s="85" t="s">
        <v>21</v>
      </c>
      <c r="N158" s="85" t="s">
        <v>15</v>
      </c>
      <c r="O158" s="90">
        <v>1E-3</v>
      </c>
      <c r="P158" s="91"/>
    </row>
    <row r="159" spans="1:16" ht="26.25">
      <c r="A159" s="41" t="s">
        <v>231</v>
      </c>
      <c r="B159" s="95" t="s">
        <v>12</v>
      </c>
      <c r="C159" s="85" t="s">
        <v>137</v>
      </c>
      <c r="D159" s="85" t="s">
        <v>54</v>
      </c>
      <c r="E159" s="85" t="s">
        <v>14</v>
      </c>
      <c r="F159" s="85" t="s">
        <v>108</v>
      </c>
      <c r="G159" s="85" t="s">
        <v>232</v>
      </c>
      <c r="H159" s="85" t="s">
        <v>45</v>
      </c>
      <c r="I159" s="85" t="s">
        <v>233</v>
      </c>
      <c r="J159" s="87">
        <v>804</v>
      </c>
      <c r="K159" s="88">
        <v>42461</v>
      </c>
      <c r="L159" s="89" t="s">
        <v>19</v>
      </c>
      <c r="M159" s="85" t="s">
        <v>21</v>
      </c>
      <c r="N159" s="85" t="s">
        <v>15</v>
      </c>
      <c r="O159" s="90">
        <v>0</v>
      </c>
      <c r="P159" s="91"/>
    </row>
    <row r="160" spans="1:16" ht="26.25">
      <c r="A160" s="41" t="s">
        <v>231</v>
      </c>
      <c r="B160" s="95" t="s">
        <v>12</v>
      </c>
      <c r="C160" s="85" t="s">
        <v>137</v>
      </c>
      <c r="D160" s="85" t="s">
        <v>54</v>
      </c>
      <c r="E160" s="85" t="s">
        <v>14</v>
      </c>
      <c r="F160" s="85" t="s">
        <v>234</v>
      </c>
      <c r="G160" s="85" t="s">
        <v>235</v>
      </c>
      <c r="H160" s="85" t="s">
        <v>45</v>
      </c>
      <c r="I160" s="85" t="s">
        <v>233</v>
      </c>
      <c r="J160" s="87">
        <v>1169</v>
      </c>
      <c r="K160" s="88">
        <v>42826</v>
      </c>
      <c r="L160" s="89" t="s">
        <v>19</v>
      </c>
      <c r="M160" s="85" t="s">
        <v>22</v>
      </c>
      <c r="N160" s="85" t="s">
        <v>15</v>
      </c>
      <c r="O160" s="90">
        <v>0</v>
      </c>
      <c r="P160" s="91"/>
    </row>
    <row r="161" spans="1:16">
      <c r="A161" s="41" t="s">
        <v>522</v>
      </c>
      <c r="B161" s="95" t="s">
        <v>16</v>
      </c>
      <c r="C161" s="85" t="s">
        <v>0</v>
      </c>
      <c r="D161" s="85" t="s">
        <v>42</v>
      </c>
      <c r="E161" s="85" t="s">
        <v>14</v>
      </c>
      <c r="F161" s="85" t="s">
        <v>108</v>
      </c>
      <c r="G161" s="85" t="s">
        <v>523</v>
      </c>
      <c r="H161" s="85" t="s">
        <v>45</v>
      </c>
      <c r="I161" s="85" t="s">
        <v>524</v>
      </c>
      <c r="J161" s="87">
        <v>833</v>
      </c>
      <c r="K161" s="88">
        <v>42490</v>
      </c>
      <c r="L161" s="89"/>
      <c r="M161" s="85" t="s">
        <v>52</v>
      </c>
      <c r="N161" s="85" t="s">
        <v>15</v>
      </c>
      <c r="O161" s="90">
        <v>1E-3</v>
      </c>
      <c r="P161" s="91">
        <v>0.05</v>
      </c>
    </row>
    <row r="162" spans="1:16">
      <c r="A162" s="41" t="s">
        <v>522</v>
      </c>
      <c r="B162" s="95" t="s">
        <v>16</v>
      </c>
      <c r="C162" s="85" t="s">
        <v>222</v>
      </c>
      <c r="D162" s="85" t="s">
        <v>78</v>
      </c>
      <c r="E162" s="85" t="s">
        <v>14</v>
      </c>
      <c r="F162" s="85" t="s">
        <v>250</v>
      </c>
      <c r="G162" s="85" t="s">
        <v>525</v>
      </c>
      <c r="H162" s="85" t="s">
        <v>45</v>
      </c>
      <c r="I162" s="85" t="s">
        <v>524</v>
      </c>
      <c r="J162" s="87">
        <v>1379</v>
      </c>
      <c r="K162" s="88">
        <v>43036</v>
      </c>
      <c r="L162" s="89"/>
      <c r="M162" s="85" t="s">
        <v>21</v>
      </c>
      <c r="N162" s="85" t="s">
        <v>15</v>
      </c>
      <c r="O162" s="90">
        <v>1E-3</v>
      </c>
      <c r="P162" s="91">
        <v>0.05</v>
      </c>
    </row>
    <row r="163" spans="1:16">
      <c r="A163" s="41" t="s">
        <v>522</v>
      </c>
      <c r="B163" s="95" t="s">
        <v>16</v>
      </c>
      <c r="C163" s="85" t="s">
        <v>222</v>
      </c>
      <c r="D163" s="85" t="s">
        <v>42</v>
      </c>
      <c r="E163" s="85" t="s">
        <v>14</v>
      </c>
      <c r="F163" s="85" t="s">
        <v>366</v>
      </c>
      <c r="G163" s="85" t="s">
        <v>526</v>
      </c>
      <c r="H163" s="85" t="s">
        <v>45</v>
      </c>
      <c r="I163" s="85" t="s">
        <v>524</v>
      </c>
      <c r="J163" s="87">
        <v>1198</v>
      </c>
      <c r="K163" s="88">
        <v>42855</v>
      </c>
      <c r="L163" s="89"/>
      <c r="M163" s="85" t="s">
        <v>20</v>
      </c>
      <c r="N163" s="85" t="s">
        <v>15</v>
      </c>
      <c r="O163" s="90">
        <v>1E-3</v>
      </c>
      <c r="P163" s="91">
        <v>0.05</v>
      </c>
    </row>
    <row r="164" spans="1:16">
      <c r="A164" s="41" t="s">
        <v>498</v>
      </c>
      <c r="B164" s="85" t="s">
        <v>16</v>
      </c>
      <c r="C164" s="85" t="s">
        <v>0</v>
      </c>
      <c r="D164" s="85" t="s">
        <v>54</v>
      </c>
      <c r="E164" s="85" t="s">
        <v>14</v>
      </c>
      <c r="F164" s="85" t="s">
        <v>380</v>
      </c>
      <c r="G164" s="85" t="s">
        <v>499</v>
      </c>
      <c r="H164" s="85" t="s">
        <v>45</v>
      </c>
      <c r="I164" s="85" t="s">
        <v>500</v>
      </c>
      <c r="J164" s="87">
        <v>884</v>
      </c>
      <c r="K164" s="88">
        <v>42541</v>
      </c>
      <c r="L164" s="89"/>
      <c r="M164" s="85" t="s">
        <v>21</v>
      </c>
      <c r="N164" s="85" t="s">
        <v>15</v>
      </c>
      <c r="O164" s="90">
        <v>1E-3</v>
      </c>
      <c r="P164" s="91">
        <v>0.05</v>
      </c>
    </row>
    <row r="165" spans="1:16">
      <c r="A165" s="41" t="s">
        <v>498</v>
      </c>
      <c r="B165" s="95" t="s">
        <v>16</v>
      </c>
      <c r="C165" s="85" t="s">
        <v>0</v>
      </c>
      <c r="D165" s="85" t="s">
        <v>110</v>
      </c>
      <c r="E165" s="85" t="s">
        <v>14</v>
      </c>
      <c r="F165" s="85" t="s">
        <v>151</v>
      </c>
      <c r="G165" s="85" t="s">
        <v>501</v>
      </c>
      <c r="H165" s="85" t="s">
        <v>45</v>
      </c>
      <c r="I165" s="85" t="s">
        <v>500</v>
      </c>
      <c r="J165" s="87">
        <v>1219</v>
      </c>
      <c r="K165" s="88">
        <v>42876</v>
      </c>
      <c r="L165" s="89"/>
      <c r="M165" s="85" t="s">
        <v>22</v>
      </c>
      <c r="N165" s="85" t="s">
        <v>15</v>
      </c>
      <c r="O165" s="90">
        <v>1E-3</v>
      </c>
      <c r="P165" s="91">
        <v>0.05</v>
      </c>
    </row>
    <row r="166" spans="1:16">
      <c r="A166" s="41" t="s">
        <v>449</v>
      </c>
      <c r="B166" s="95" t="s">
        <v>16</v>
      </c>
      <c r="C166" s="85" t="s">
        <v>137</v>
      </c>
      <c r="D166" s="85" t="s">
        <v>66</v>
      </c>
      <c r="E166" s="85" t="s">
        <v>14</v>
      </c>
      <c r="F166" s="85" t="s">
        <v>149</v>
      </c>
      <c r="G166" s="85" t="s">
        <v>450</v>
      </c>
      <c r="H166" s="85" t="s">
        <v>45</v>
      </c>
      <c r="I166" s="85" t="s">
        <v>451</v>
      </c>
      <c r="J166" s="87">
        <v>518</v>
      </c>
      <c r="K166" s="88">
        <v>42175</v>
      </c>
      <c r="L166" s="89"/>
      <c r="M166" s="85" t="s">
        <v>21</v>
      </c>
      <c r="N166" s="85" t="s">
        <v>15</v>
      </c>
      <c r="O166" s="90">
        <v>1E-3</v>
      </c>
      <c r="P166" s="91">
        <v>0.05</v>
      </c>
    </row>
    <row r="167" spans="1:16">
      <c r="A167" s="41" t="s">
        <v>449</v>
      </c>
      <c r="B167" s="95" t="s">
        <v>16</v>
      </c>
      <c r="C167" s="85" t="s">
        <v>0</v>
      </c>
      <c r="D167" s="85" t="s">
        <v>54</v>
      </c>
      <c r="E167" s="85" t="s">
        <v>14</v>
      </c>
      <c r="F167" s="85" t="s">
        <v>386</v>
      </c>
      <c r="G167" s="85" t="s">
        <v>452</v>
      </c>
      <c r="H167" s="85" t="s">
        <v>45</v>
      </c>
      <c r="I167" s="85" t="s">
        <v>451</v>
      </c>
      <c r="J167" s="87">
        <v>1249</v>
      </c>
      <c r="K167" s="88">
        <v>42906</v>
      </c>
      <c r="L167" s="89"/>
      <c r="M167" s="85" t="s">
        <v>22</v>
      </c>
      <c r="N167" s="85" t="s">
        <v>15</v>
      </c>
      <c r="O167" s="90">
        <v>1E-3</v>
      </c>
      <c r="P167" s="91">
        <v>0.05</v>
      </c>
    </row>
    <row r="168" spans="1:16" ht="26.25">
      <c r="A168" s="41" t="s">
        <v>221</v>
      </c>
      <c r="B168" s="95" t="s">
        <v>12</v>
      </c>
      <c r="C168" s="85" t="s">
        <v>222</v>
      </c>
      <c r="D168" s="85" t="s">
        <v>110</v>
      </c>
      <c r="E168" s="85" t="s">
        <v>14</v>
      </c>
      <c r="F168" s="85" t="s">
        <v>223</v>
      </c>
      <c r="G168" s="85" t="s">
        <v>224</v>
      </c>
      <c r="H168" s="85" t="s">
        <v>45</v>
      </c>
      <c r="I168" s="85" t="s">
        <v>225</v>
      </c>
      <c r="J168" s="87">
        <v>1249</v>
      </c>
      <c r="K168" s="88">
        <v>42906</v>
      </c>
      <c r="L168" s="89" t="s">
        <v>19</v>
      </c>
      <c r="M168" s="85" t="s">
        <v>52</v>
      </c>
      <c r="N168" s="85" t="s">
        <v>15</v>
      </c>
      <c r="O168" s="90">
        <v>0</v>
      </c>
      <c r="P168" s="91"/>
    </row>
    <row r="169" spans="1:16">
      <c r="A169" s="41" t="s">
        <v>558</v>
      </c>
      <c r="B169" s="95" t="s">
        <v>16</v>
      </c>
      <c r="C169" s="85" t="s">
        <v>186</v>
      </c>
      <c r="D169" s="85" t="s">
        <v>54</v>
      </c>
      <c r="E169" s="85" t="s">
        <v>14</v>
      </c>
      <c r="F169" s="85" t="s">
        <v>559</v>
      </c>
      <c r="G169" s="85" t="s">
        <v>560</v>
      </c>
      <c r="H169" s="85" t="s">
        <v>45</v>
      </c>
      <c r="I169" s="85" t="s">
        <v>561</v>
      </c>
      <c r="J169" s="87">
        <v>518</v>
      </c>
      <c r="K169" s="88">
        <v>42175</v>
      </c>
      <c r="L169" s="89"/>
      <c r="M169" s="85" t="s">
        <v>52</v>
      </c>
      <c r="N169" s="85" t="s">
        <v>15</v>
      </c>
      <c r="O169" s="90">
        <v>1E-3</v>
      </c>
      <c r="P169" s="91">
        <v>0.05</v>
      </c>
    </row>
    <row r="170" spans="1:16">
      <c r="A170" s="41" t="s">
        <v>407</v>
      </c>
      <c r="B170" s="95" t="s">
        <v>16</v>
      </c>
      <c r="C170" s="85" t="s">
        <v>137</v>
      </c>
      <c r="D170" s="85" t="s">
        <v>66</v>
      </c>
      <c r="E170" s="85" t="s">
        <v>14</v>
      </c>
      <c r="F170" s="85" t="s">
        <v>116</v>
      </c>
      <c r="G170" s="85" t="s">
        <v>408</v>
      </c>
      <c r="H170" s="85" t="s">
        <v>45</v>
      </c>
      <c r="I170" s="85" t="s">
        <v>409</v>
      </c>
      <c r="J170" s="87">
        <v>502</v>
      </c>
      <c r="K170" s="88">
        <v>42159</v>
      </c>
      <c r="L170" s="89"/>
      <c r="M170" s="85" t="s">
        <v>21</v>
      </c>
      <c r="N170" s="85" t="s">
        <v>15</v>
      </c>
      <c r="O170" s="90">
        <v>1E-3</v>
      </c>
      <c r="P170" s="91">
        <v>0.05</v>
      </c>
    </row>
    <row r="171" spans="1:16">
      <c r="A171" s="41" t="s">
        <v>407</v>
      </c>
      <c r="B171" s="95" t="s">
        <v>16</v>
      </c>
      <c r="C171" s="85" t="s">
        <v>137</v>
      </c>
      <c r="D171" s="85" t="s">
        <v>66</v>
      </c>
      <c r="E171" s="85" t="s">
        <v>14</v>
      </c>
      <c r="F171" s="85" t="s">
        <v>410</v>
      </c>
      <c r="G171" s="85" t="s">
        <v>411</v>
      </c>
      <c r="H171" s="85" t="s">
        <v>45</v>
      </c>
      <c r="I171" s="85" t="s">
        <v>409</v>
      </c>
      <c r="J171" s="87">
        <v>868</v>
      </c>
      <c r="K171" s="88">
        <v>42525</v>
      </c>
      <c r="L171" s="89"/>
      <c r="M171" s="85" t="s">
        <v>22</v>
      </c>
      <c r="N171" s="85" t="s">
        <v>15</v>
      </c>
      <c r="O171" s="90">
        <v>1E-3</v>
      </c>
      <c r="P171" s="91">
        <v>0.05</v>
      </c>
    </row>
    <row r="172" spans="1:16">
      <c r="A172" s="41" t="s">
        <v>495</v>
      </c>
      <c r="B172" s="95" t="s">
        <v>16</v>
      </c>
      <c r="C172" s="85" t="s">
        <v>0</v>
      </c>
      <c r="D172" s="85" t="s">
        <v>60</v>
      </c>
      <c r="E172" s="85" t="s">
        <v>14</v>
      </c>
      <c r="F172" s="85" t="s">
        <v>134</v>
      </c>
      <c r="G172" s="85" t="s">
        <v>496</v>
      </c>
      <c r="H172" s="85" t="s">
        <v>45</v>
      </c>
      <c r="I172" s="85" t="s">
        <v>497</v>
      </c>
      <c r="J172" s="87">
        <v>530</v>
      </c>
      <c r="K172" s="88">
        <v>42187</v>
      </c>
      <c r="L172" s="89"/>
      <c r="M172" s="85" t="s">
        <v>20</v>
      </c>
      <c r="N172" s="85" t="s">
        <v>15</v>
      </c>
      <c r="O172" s="90">
        <v>1E-3</v>
      </c>
      <c r="P172" s="91">
        <v>0.05</v>
      </c>
    </row>
    <row r="173" spans="1:16">
      <c r="A173" s="41" t="s">
        <v>505</v>
      </c>
      <c r="B173" s="95" t="s">
        <v>16</v>
      </c>
      <c r="C173" s="85" t="s">
        <v>137</v>
      </c>
      <c r="D173" s="85" t="s">
        <v>66</v>
      </c>
      <c r="E173" s="85" t="s">
        <v>14</v>
      </c>
      <c r="F173" s="85" t="s">
        <v>134</v>
      </c>
      <c r="G173" s="85" t="s">
        <v>506</v>
      </c>
      <c r="H173" s="85" t="s">
        <v>45</v>
      </c>
      <c r="I173" s="85" t="s">
        <v>507</v>
      </c>
      <c r="J173" s="87">
        <v>1288</v>
      </c>
      <c r="K173" s="88">
        <v>42945</v>
      </c>
      <c r="L173" s="89"/>
      <c r="M173" s="85" t="s">
        <v>22</v>
      </c>
      <c r="N173" s="85" t="s">
        <v>15</v>
      </c>
      <c r="O173" s="90">
        <v>1E-3</v>
      </c>
      <c r="P173" s="91">
        <v>0.05</v>
      </c>
    </row>
    <row r="174" spans="1:16">
      <c r="A174" s="41" t="s">
        <v>505</v>
      </c>
      <c r="B174" s="95" t="s">
        <v>16</v>
      </c>
      <c r="C174" s="85" t="s">
        <v>137</v>
      </c>
      <c r="D174" s="85" t="s">
        <v>66</v>
      </c>
      <c r="E174" s="85" t="s">
        <v>14</v>
      </c>
      <c r="F174" s="85" t="s">
        <v>94</v>
      </c>
      <c r="G174" s="85" t="s">
        <v>508</v>
      </c>
      <c r="H174" s="85" t="s">
        <v>45</v>
      </c>
      <c r="I174" s="85" t="s">
        <v>507</v>
      </c>
      <c r="J174" s="87">
        <v>557</v>
      </c>
      <c r="K174" s="88">
        <v>42214</v>
      </c>
      <c r="L174" s="89"/>
      <c r="M174" s="85" t="s">
        <v>52</v>
      </c>
      <c r="N174" s="85" t="s">
        <v>15</v>
      </c>
      <c r="O174" s="90">
        <v>1E-3</v>
      </c>
      <c r="P174" s="91">
        <v>0.05</v>
      </c>
    </row>
    <row r="175" spans="1:16">
      <c r="A175" s="41" t="s">
        <v>505</v>
      </c>
      <c r="B175" s="95" t="s">
        <v>16</v>
      </c>
      <c r="C175" s="85" t="s">
        <v>137</v>
      </c>
      <c r="D175" s="85" t="s">
        <v>66</v>
      </c>
      <c r="E175" s="85" t="s">
        <v>14</v>
      </c>
      <c r="F175" s="85" t="s">
        <v>99</v>
      </c>
      <c r="G175" s="85" t="s">
        <v>509</v>
      </c>
      <c r="H175" s="85" t="s">
        <v>45</v>
      </c>
      <c r="I175" s="85" t="s">
        <v>507</v>
      </c>
      <c r="J175" s="87">
        <v>1288</v>
      </c>
      <c r="K175" s="88">
        <v>42945</v>
      </c>
      <c r="L175" s="89"/>
      <c r="M175" s="85" t="s">
        <v>20</v>
      </c>
      <c r="N175" s="85" t="s">
        <v>15</v>
      </c>
      <c r="O175" s="90">
        <v>1E-3</v>
      </c>
      <c r="P175" s="91">
        <v>0.05</v>
      </c>
    </row>
    <row r="176" spans="1:16" ht="26.25">
      <c r="A176" s="41" t="s">
        <v>164</v>
      </c>
      <c r="B176" s="95" t="s">
        <v>12</v>
      </c>
      <c r="C176" s="85" t="s">
        <v>0</v>
      </c>
      <c r="D176" s="85" t="s">
        <v>110</v>
      </c>
      <c r="E176" s="85" t="s">
        <v>14</v>
      </c>
      <c r="F176" s="85" t="s">
        <v>165</v>
      </c>
      <c r="G176" s="85" t="s">
        <v>166</v>
      </c>
      <c r="H176" s="85" t="s">
        <v>45</v>
      </c>
      <c r="I176" s="85" t="s">
        <v>167</v>
      </c>
      <c r="J176" s="87">
        <v>533</v>
      </c>
      <c r="K176" s="88">
        <v>42190</v>
      </c>
      <c r="L176" s="89" t="s">
        <v>19</v>
      </c>
      <c r="M176" s="85" t="s">
        <v>20</v>
      </c>
      <c r="N176" s="85" t="s">
        <v>15</v>
      </c>
      <c r="O176" s="90">
        <v>1E-3</v>
      </c>
      <c r="P176" s="91"/>
    </row>
    <row r="177" spans="1:16">
      <c r="A177" s="41" t="s">
        <v>417</v>
      </c>
      <c r="B177" s="95" t="s">
        <v>16</v>
      </c>
      <c r="C177" s="85" t="s">
        <v>356</v>
      </c>
      <c r="D177" s="85" t="s">
        <v>110</v>
      </c>
      <c r="E177" s="85" t="s">
        <v>14</v>
      </c>
      <c r="F177" s="85" t="s">
        <v>154</v>
      </c>
      <c r="G177" s="85" t="s">
        <v>418</v>
      </c>
      <c r="H177" s="85" t="s">
        <v>45</v>
      </c>
      <c r="I177" s="85" t="s">
        <v>419</v>
      </c>
      <c r="J177" s="87">
        <v>1614</v>
      </c>
      <c r="K177" s="88">
        <v>43271</v>
      </c>
      <c r="L177" s="89"/>
      <c r="M177" s="85" t="s">
        <v>20</v>
      </c>
      <c r="N177" s="85" t="s">
        <v>15</v>
      </c>
      <c r="O177" s="90">
        <v>1E-3</v>
      </c>
      <c r="P177" s="91">
        <v>0.05</v>
      </c>
    </row>
    <row r="178" spans="1:16">
      <c r="A178" s="41" t="s">
        <v>417</v>
      </c>
      <c r="B178" s="95" t="s">
        <v>16</v>
      </c>
      <c r="C178" s="85" t="s">
        <v>356</v>
      </c>
      <c r="D178" s="85" t="s">
        <v>110</v>
      </c>
      <c r="E178" s="85" t="s">
        <v>14</v>
      </c>
      <c r="F178" s="85" t="s">
        <v>338</v>
      </c>
      <c r="G178" s="85" t="s">
        <v>420</v>
      </c>
      <c r="H178" s="85" t="s">
        <v>45</v>
      </c>
      <c r="I178" s="85" t="s">
        <v>419</v>
      </c>
      <c r="J178" s="87">
        <v>1614</v>
      </c>
      <c r="K178" s="88">
        <v>43271</v>
      </c>
      <c r="L178" s="89"/>
      <c r="M178" s="85" t="s">
        <v>21</v>
      </c>
      <c r="N178" s="85" t="s">
        <v>15</v>
      </c>
      <c r="O178" s="90">
        <v>1E-3</v>
      </c>
      <c r="P178" s="91">
        <v>0.05</v>
      </c>
    </row>
    <row r="179" spans="1:16" ht="26.25">
      <c r="A179" s="41" t="s">
        <v>304</v>
      </c>
      <c r="B179" s="95" t="s">
        <v>12</v>
      </c>
      <c r="C179" s="85" t="s">
        <v>0</v>
      </c>
      <c r="D179" s="85" t="s">
        <v>42</v>
      </c>
      <c r="E179" s="85" t="s">
        <v>370</v>
      </c>
      <c r="F179" s="85" t="s">
        <v>305</v>
      </c>
      <c r="G179" s="85" t="s">
        <v>306</v>
      </c>
      <c r="H179" s="85" t="s">
        <v>132</v>
      </c>
      <c r="I179" s="85" t="s">
        <v>307</v>
      </c>
      <c r="J179" s="87">
        <v>1979</v>
      </c>
      <c r="K179" s="88">
        <v>43636</v>
      </c>
      <c r="L179" s="89" t="s">
        <v>19</v>
      </c>
      <c r="M179" s="85" t="s">
        <v>52</v>
      </c>
      <c r="N179" s="85" t="s">
        <v>2</v>
      </c>
      <c r="O179" s="90">
        <v>0</v>
      </c>
      <c r="P179" s="91"/>
    </row>
    <row r="180" spans="1:16">
      <c r="A180" s="41" t="s">
        <v>540</v>
      </c>
      <c r="B180" s="95" t="s">
        <v>16</v>
      </c>
      <c r="C180" s="85" t="s">
        <v>0</v>
      </c>
      <c r="D180" s="85" t="s">
        <v>60</v>
      </c>
      <c r="E180" s="85" t="s">
        <v>14</v>
      </c>
      <c r="F180" s="85" t="s">
        <v>119</v>
      </c>
      <c r="G180" s="85" t="s">
        <v>541</v>
      </c>
      <c r="H180" s="85" t="s">
        <v>45</v>
      </c>
      <c r="I180" s="85" t="s">
        <v>542</v>
      </c>
      <c r="J180" s="87">
        <v>592</v>
      </c>
      <c r="K180" s="88">
        <v>42249</v>
      </c>
      <c r="L180" s="89"/>
      <c r="M180" s="85" t="s">
        <v>20</v>
      </c>
      <c r="N180" s="85" t="s">
        <v>15</v>
      </c>
      <c r="O180" s="90">
        <v>1E-3</v>
      </c>
      <c r="P180" s="91">
        <v>0.05</v>
      </c>
    </row>
    <row r="181" spans="1:16">
      <c r="A181" s="41" t="s">
        <v>540</v>
      </c>
      <c r="B181" s="95" t="s">
        <v>16</v>
      </c>
      <c r="C181" s="85" t="s">
        <v>0</v>
      </c>
      <c r="D181" s="85" t="s">
        <v>60</v>
      </c>
      <c r="E181" s="85" t="s">
        <v>14</v>
      </c>
      <c r="F181" s="85" t="s">
        <v>543</v>
      </c>
      <c r="G181" s="85" t="s">
        <v>544</v>
      </c>
      <c r="H181" s="85" t="s">
        <v>45</v>
      </c>
      <c r="I181" s="85" t="s">
        <v>542</v>
      </c>
      <c r="J181" s="87">
        <v>700</v>
      </c>
      <c r="K181" s="88">
        <v>42357</v>
      </c>
      <c r="L181" s="89"/>
      <c r="M181" s="85" t="s">
        <v>21</v>
      </c>
      <c r="N181" s="85" t="s">
        <v>15</v>
      </c>
      <c r="O181" s="90">
        <v>1E-3</v>
      </c>
      <c r="P181" s="91">
        <v>0.05</v>
      </c>
    </row>
    <row r="182" spans="1:16" ht="26.25">
      <c r="A182" s="41" t="s">
        <v>136</v>
      </c>
      <c r="B182" s="95" t="s">
        <v>12</v>
      </c>
      <c r="C182" s="85" t="s">
        <v>137</v>
      </c>
      <c r="D182" s="85" t="s">
        <v>66</v>
      </c>
      <c r="E182" s="85" t="s">
        <v>14</v>
      </c>
      <c r="F182" s="85" t="s">
        <v>138</v>
      </c>
      <c r="G182" s="85" t="s">
        <v>139</v>
      </c>
      <c r="H182" s="85" t="s">
        <v>140</v>
      </c>
      <c r="I182" s="85" t="s">
        <v>141</v>
      </c>
      <c r="J182" s="87">
        <v>608</v>
      </c>
      <c r="K182" s="88">
        <v>42265</v>
      </c>
      <c r="L182" s="89" t="s">
        <v>19</v>
      </c>
      <c r="M182" s="85" t="s">
        <v>52</v>
      </c>
      <c r="N182" s="85" t="s">
        <v>15</v>
      </c>
      <c r="O182" s="90">
        <v>1E-3</v>
      </c>
      <c r="P182" s="91"/>
    </row>
    <row r="183" spans="1:16" ht="26.25">
      <c r="A183" s="41" t="s">
        <v>136</v>
      </c>
      <c r="B183" s="95" t="s">
        <v>12</v>
      </c>
      <c r="C183" s="85" t="s">
        <v>137</v>
      </c>
      <c r="D183" s="85" t="s">
        <v>66</v>
      </c>
      <c r="E183" s="85" t="s">
        <v>14</v>
      </c>
      <c r="F183" s="85" t="s">
        <v>142</v>
      </c>
      <c r="G183" s="85" t="s">
        <v>143</v>
      </c>
      <c r="H183" s="85" t="s">
        <v>140</v>
      </c>
      <c r="I183" s="85" t="s">
        <v>141</v>
      </c>
      <c r="J183" s="87">
        <v>1338</v>
      </c>
      <c r="K183" s="88">
        <v>42995</v>
      </c>
      <c r="L183" s="89" t="s">
        <v>19</v>
      </c>
      <c r="M183" s="85" t="s">
        <v>21</v>
      </c>
      <c r="N183" s="85" t="s">
        <v>15</v>
      </c>
      <c r="O183" s="90">
        <v>1E-3</v>
      </c>
      <c r="P183" s="91"/>
    </row>
    <row r="184" spans="1:16" ht="26.25">
      <c r="A184" s="41" t="s">
        <v>103</v>
      </c>
      <c r="B184" s="95" t="s">
        <v>12</v>
      </c>
      <c r="C184" s="85" t="s">
        <v>0</v>
      </c>
      <c r="D184" s="85" t="s">
        <v>42</v>
      </c>
      <c r="E184" s="85" t="s">
        <v>14</v>
      </c>
      <c r="F184" s="85" t="s">
        <v>82</v>
      </c>
      <c r="G184" s="85" t="s">
        <v>104</v>
      </c>
      <c r="H184" s="85" t="s">
        <v>45</v>
      </c>
      <c r="I184" s="85" t="s">
        <v>105</v>
      </c>
      <c r="J184" s="87">
        <v>594</v>
      </c>
      <c r="K184" s="88">
        <v>42251</v>
      </c>
      <c r="L184" s="89" t="s">
        <v>19</v>
      </c>
      <c r="M184" s="85" t="s">
        <v>20</v>
      </c>
      <c r="N184" s="85" t="s">
        <v>15</v>
      </c>
      <c r="O184" s="90">
        <v>1E-3</v>
      </c>
      <c r="P184" s="91"/>
    </row>
    <row r="185" spans="1:16" ht="26.25">
      <c r="A185" s="41" t="s">
        <v>103</v>
      </c>
      <c r="B185" s="85" t="s">
        <v>12</v>
      </c>
      <c r="C185" s="85" t="s">
        <v>0</v>
      </c>
      <c r="D185" s="85" t="s">
        <v>42</v>
      </c>
      <c r="E185" s="85" t="s">
        <v>14</v>
      </c>
      <c r="F185" s="85" t="s">
        <v>106</v>
      </c>
      <c r="G185" s="85" t="s">
        <v>107</v>
      </c>
      <c r="H185" s="85" t="s">
        <v>45</v>
      </c>
      <c r="I185" s="85" t="s">
        <v>105</v>
      </c>
      <c r="J185" s="87">
        <v>1324</v>
      </c>
      <c r="K185" s="88">
        <v>42981</v>
      </c>
      <c r="L185" s="89" t="s">
        <v>19</v>
      </c>
      <c r="M185" s="85" t="s">
        <v>21</v>
      </c>
      <c r="N185" s="85" t="s">
        <v>15</v>
      </c>
      <c r="O185" s="90">
        <v>1E-3</v>
      </c>
      <c r="P185" s="41"/>
    </row>
    <row r="186" spans="1:16" ht="26.25">
      <c r="A186" s="41" t="s">
        <v>103</v>
      </c>
      <c r="B186" s="85" t="s">
        <v>12</v>
      </c>
      <c r="C186" s="85" t="s">
        <v>0</v>
      </c>
      <c r="D186" s="85" t="s">
        <v>42</v>
      </c>
      <c r="E186" s="85" t="s">
        <v>14</v>
      </c>
      <c r="F186" s="85" t="s">
        <v>108</v>
      </c>
      <c r="G186" s="85" t="s">
        <v>109</v>
      </c>
      <c r="H186" s="85" t="s">
        <v>45</v>
      </c>
      <c r="I186" s="85" t="s">
        <v>105</v>
      </c>
      <c r="J186" s="87">
        <v>1324</v>
      </c>
      <c r="K186" s="88">
        <v>42981</v>
      </c>
      <c r="L186" s="89" t="s">
        <v>19</v>
      </c>
      <c r="M186" s="85" t="s">
        <v>22</v>
      </c>
      <c r="N186" s="85" t="s">
        <v>15</v>
      </c>
      <c r="O186" s="90">
        <v>1E-3</v>
      </c>
      <c r="P186" s="41"/>
    </row>
    <row r="187" spans="1:16" ht="26.25">
      <c r="A187" s="41" t="s">
        <v>103</v>
      </c>
      <c r="B187" s="85" t="s">
        <v>12</v>
      </c>
      <c r="C187" s="85" t="s">
        <v>356</v>
      </c>
      <c r="D187" s="85" t="s">
        <v>110</v>
      </c>
      <c r="E187" s="85" t="s">
        <v>14</v>
      </c>
      <c r="F187" s="85" t="s">
        <v>108</v>
      </c>
      <c r="G187" s="85" t="s">
        <v>111</v>
      </c>
      <c r="H187" s="85" t="s">
        <v>45</v>
      </c>
      <c r="I187" s="85" t="s">
        <v>105</v>
      </c>
      <c r="J187" s="87">
        <v>1614</v>
      </c>
      <c r="K187" s="88">
        <v>43271</v>
      </c>
      <c r="L187" s="89" t="s">
        <v>19</v>
      </c>
      <c r="M187" s="85" t="s">
        <v>52</v>
      </c>
      <c r="N187" s="85" t="s">
        <v>15</v>
      </c>
      <c r="O187" s="90">
        <v>1E-3</v>
      </c>
      <c r="P187" s="41"/>
    </row>
    <row r="188" spans="1:16" ht="26.25">
      <c r="A188" s="41" t="s">
        <v>275</v>
      </c>
      <c r="B188" s="85" t="s">
        <v>12</v>
      </c>
      <c r="C188" s="85" t="s">
        <v>364</v>
      </c>
      <c r="D188" s="85" t="s">
        <v>66</v>
      </c>
      <c r="E188" s="85" t="s">
        <v>14</v>
      </c>
      <c r="F188" s="85" t="s">
        <v>276</v>
      </c>
      <c r="G188" s="85" t="s">
        <v>277</v>
      </c>
      <c r="H188" s="85" t="s">
        <v>45</v>
      </c>
      <c r="I188" s="85" t="s">
        <v>278</v>
      </c>
      <c r="J188" s="87">
        <v>607</v>
      </c>
      <c r="K188" s="88">
        <v>42264</v>
      </c>
      <c r="L188" s="89" t="s">
        <v>19</v>
      </c>
      <c r="M188" s="85" t="s">
        <v>21</v>
      </c>
      <c r="N188" s="85" t="s">
        <v>15</v>
      </c>
      <c r="O188" s="90">
        <v>0</v>
      </c>
      <c r="P188" s="41"/>
    </row>
    <row r="189" spans="1:16" ht="26.25">
      <c r="A189" s="41" t="s">
        <v>275</v>
      </c>
      <c r="B189" s="85" t="s">
        <v>12</v>
      </c>
      <c r="C189" s="85" t="s">
        <v>364</v>
      </c>
      <c r="D189" s="85" t="s">
        <v>66</v>
      </c>
      <c r="E189" s="85" t="s">
        <v>14</v>
      </c>
      <c r="F189" s="85" t="s">
        <v>279</v>
      </c>
      <c r="G189" s="85" t="s">
        <v>280</v>
      </c>
      <c r="H189" s="85" t="s">
        <v>45</v>
      </c>
      <c r="I189" s="85" t="s">
        <v>278</v>
      </c>
      <c r="J189" s="87">
        <v>607</v>
      </c>
      <c r="K189" s="88">
        <v>42264</v>
      </c>
      <c r="L189" s="89" t="s">
        <v>19</v>
      </c>
      <c r="M189" s="85" t="s">
        <v>22</v>
      </c>
      <c r="N189" s="85" t="s">
        <v>15</v>
      </c>
      <c r="O189" s="90">
        <v>0</v>
      </c>
      <c r="P189" s="41"/>
    </row>
    <row r="190" spans="1:16">
      <c r="A190" s="41" t="s">
        <v>393</v>
      </c>
      <c r="B190" s="85" t="s">
        <v>16</v>
      </c>
      <c r="C190" s="85" t="s">
        <v>0</v>
      </c>
      <c r="D190" s="85" t="s">
        <v>54</v>
      </c>
      <c r="E190" s="85" t="s">
        <v>14</v>
      </c>
      <c r="F190" s="85" t="s">
        <v>365</v>
      </c>
      <c r="G190" s="85" t="s">
        <v>394</v>
      </c>
      <c r="H190" s="85" t="s">
        <v>45</v>
      </c>
      <c r="I190" s="85" t="s">
        <v>395</v>
      </c>
      <c r="J190" s="87">
        <v>1127</v>
      </c>
      <c r="K190" s="88">
        <v>42784</v>
      </c>
      <c r="L190" s="89"/>
      <c r="M190" s="85" t="s">
        <v>52</v>
      </c>
      <c r="N190" s="85" t="s">
        <v>15</v>
      </c>
      <c r="O190" s="90">
        <v>1E-3</v>
      </c>
      <c r="P190" s="91">
        <v>0.05</v>
      </c>
    </row>
    <row r="191" spans="1:16">
      <c r="A191" s="41" t="s">
        <v>393</v>
      </c>
      <c r="B191" s="85" t="s">
        <v>16</v>
      </c>
      <c r="C191" s="85" t="s">
        <v>0</v>
      </c>
      <c r="D191" s="85" t="s">
        <v>54</v>
      </c>
      <c r="E191" s="85" t="s">
        <v>14</v>
      </c>
      <c r="F191" s="85" t="s">
        <v>387</v>
      </c>
      <c r="G191" s="85" t="s">
        <v>396</v>
      </c>
      <c r="H191" s="85" t="s">
        <v>45</v>
      </c>
      <c r="I191" s="85" t="s">
        <v>395</v>
      </c>
      <c r="J191" s="87">
        <v>1614</v>
      </c>
      <c r="K191" s="88">
        <v>43271</v>
      </c>
      <c r="L191" s="89"/>
      <c r="M191" s="85" t="s">
        <v>21</v>
      </c>
      <c r="N191" s="85" t="s">
        <v>15</v>
      </c>
      <c r="O191" s="90">
        <v>1E-3</v>
      </c>
      <c r="P191" s="91">
        <v>0.05</v>
      </c>
    </row>
    <row r="192" spans="1:16">
      <c r="A192" s="41" t="s">
        <v>393</v>
      </c>
      <c r="B192" s="85" t="s">
        <v>16</v>
      </c>
      <c r="C192" s="85" t="s">
        <v>0</v>
      </c>
      <c r="D192" s="85" t="s">
        <v>54</v>
      </c>
      <c r="E192" s="85" t="s">
        <v>14</v>
      </c>
      <c r="F192" s="85" t="s">
        <v>108</v>
      </c>
      <c r="G192" s="85" t="s">
        <v>397</v>
      </c>
      <c r="H192" s="85" t="s">
        <v>45</v>
      </c>
      <c r="I192" s="85" t="s">
        <v>395</v>
      </c>
      <c r="J192" s="87">
        <v>1614</v>
      </c>
      <c r="K192" s="88">
        <v>43271</v>
      </c>
      <c r="L192" s="89"/>
      <c r="M192" s="85" t="s">
        <v>20</v>
      </c>
      <c r="N192" s="85" t="s">
        <v>15</v>
      </c>
      <c r="O192" s="90">
        <v>1E-3</v>
      </c>
      <c r="P192" s="91">
        <v>0.05</v>
      </c>
    </row>
    <row r="193" spans="1:16">
      <c r="A193" s="41" t="s">
        <v>393</v>
      </c>
      <c r="B193" s="85" t="s">
        <v>16</v>
      </c>
      <c r="C193" s="85" t="s">
        <v>0</v>
      </c>
      <c r="D193" s="85" t="s">
        <v>54</v>
      </c>
      <c r="E193" s="85" t="s">
        <v>14</v>
      </c>
      <c r="F193" s="85" t="s">
        <v>398</v>
      </c>
      <c r="G193" s="85" t="s">
        <v>399</v>
      </c>
      <c r="H193" s="85" t="s">
        <v>45</v>
      </c>
      <c r="I193" s="85" t="s">
        <v>395</v>
      </c>
      <c r="J193" s="87">
        <v>1492</v>
      </c>
      <c r="K193" s="88">
        <v>43149</v>
      </c>
      <c r="L193" s="89"/>
      <c r="M193" s="85" t="s">
        <v>21</v>
      </c>
      <c r="N193" s="85" t="s">
        <v>15</v>
      </c>
      <c r="O193" s="90">
        <v>1E-3</v>
      </c>
      <c r="P193" s="91">
        <v>0.05</v>
      </c>
    </row>
    <row r="194" spans="1:16">
      <c r="A194" s="41" t="s">
        <v>77</v>
      </c>
      <c r="B194" s="85" t="s">
        <v>16</v>
      </c>
      <c r="C194" s="85" t="s">
        <v>0</v>
      </c>
      <c r="D194" s="85" t="s">
        <v>42</v>
      </c>
      <c r="E194" s="85" t="s">
        <v>295</v>
      </c>
      <c r="F194" s="85" t="s">
        <v>78</v>
      </c>
      <c r="G194" s="85" t="s">
        <v>79</v>
      </c>
      <c r="H194" s="85" t="s">
        <v>80</v>
      </c>
      <c r="I194" s="85" t="s">
        <v>81</v>
      </c>
      <c r="J194" s="87">
        <v>1249</v>
      </c>
      <c r="K194" s="88">
        <v>42906</v>
      </c>
      <c r="L194" s="89"/>
      <c r="M194" s="85" t="s">
        <v>20</v>
      </c>
      <c r="N194" s="85" t="s">
        <v>668</v>
      </c>
      <c r="O194" s="90">
        <v>1E-3</v>
      </c>
      <c r="P194" s="91">
        <v>0.05</v>
      </c>
    </row>
    <row r="195" spans="1:16">
      <c r="A195" s="41" t="s">
        <v>77</v>
      </c>
      <c r="B195" s="85" t="s">
        <v>16</v>
      </c>
      <c r="C195" s="85" t="s">
        <v>0</v>
      </c>
      <c r="D195" s="85" t="s">
        <v>42</v>
      </c>
      <c r="E195" s="85" t="s">
        <v>295</v>
      </c>
      <c r="F195" s="85" t="s">
        <v>82</v>
      </c>
      <c r="G195" s="85" t="s">
        <v>83</v>
      </c>
      <c r="H195" s="85" t="s">
        <v>80</v>
      </c>
      <c r="I195" s="85" t="s">
        <v>81</v>
      </c>
      <c r="J195" s="87">
        <v>1614</v>
      </c>
      <c r="K195" s="88">
        <v>43271</v>
      </c>
      <c r="L195" s="89"/>
      <c r="M195" s="85" t="s">
        <v>21</v>
      </c>
      <c r="N195" s="85" t="s">
        <v>668</v>
      </c>
      <c r="O195" s="90">
        <v>1E-3</v>
      </c>
      <c r="P195" s="91">
        <v>0.05</v>
      </c>
    </row>
    <row r="196" spans="1:16">
      <c r="A196" s="41" t="s">
        <v>468</v>
      </c>
      <c r="B196" s="85" t="s">
        <v>16</v>
      </c>
      <c r="C196" s="85" t="s">
        <v>0</v>
      </c>
      <c r="D196" s="85" t="s">
        <v>42</v>
      </c>
      <c r="E196" s="85" t="s">
        <v>14</v>
      </c>
      <c r="F196" s="85" t="s">
        <v>113</v>
      </c>
      <c r="G196" s="85" t="s">
        <v>469</v>
      </c>
      <c r="H196" s="85" t="s">
        <v>45</v>
      </c>
      <c r="I196" s="85" t="s">
        <v>470</v>
      </c>
      <c r="J196" s="87">
        <v>1249</v>
      </c>
      <c r="K196" s="88">
        <v>42906</v>
      </c>
      <c r="L196" s="89"/>
      <c r="M196" s="85" t="s">
        <v>21</v>
      </c>
      <c r="N196" s="85" t="s">
        <v>15</v>
      </c>
      <c r="O196" s="90">
        <v>1E-3</v>
      </c>
      <c r="P196" s="91">
        <v>0.05</v>
      </c>
    </row>
    <row r="197" spans="1:16">
      <c r="A197" s="41" t="s">
        <v>468</v>
      </c>
      <c r="B197" s="85" t="s">
        <v>16</v>
      </c>
      <c r="C197" s="85" t="s">
        <v>0</v>
      </c>
      <c r="D197" s="85" t="s">
        <v>42</v>
      </c>
      <c r="E197" s="85" t="s">
        <v>14</v>
      </c>
      <c r="F197" s="85" t="s">
        <v>471</v>
      </c>
      <c r="G197" s="85" t="s">
        <v>472</v>
      </c>
      <c r="H197" s="85" t="s">
        <v>45</v>
      </c>
      <c r="I197" s="85" t="s">
        <v>470</v>
      </c>
      <c r="J197" s="87">
        <v>1249</v>
      </c>
      <c r="K197" s="88">
        <v>42906</v>
      </c>
      <c r="L197" s="89"/>
      <c r="M197" s="85" t="s">
        <v>22</v>
      </c>
      <c r="N197" s="85" t="s">
        <v>15</v>
      </c>
      <c r="O197" s="90">
        <v>1E-3</v>
      </c>
      <c r="P197" s="91">
        <v>0.05</v>
      </c>
    </row>
    <row r="198" spans="1:16">
      <c r="A198" s="41" t="s">
        <v>594</v>
      </c>
      <c r="B198" s="85" t="s">
        <v>16</v>
      </c>
      <c r="C198" s="85" t="s">
        <v>137</v>
      </c>
      <c r="D198" s="85" t="s">
        <v>66</v>
      </c>
      <c r="E198" s="85" t="s">
        <v>14</v>
      </c>
      <c r="F198" s="85" t="s">
        <v>382</v>
      </c>
      <c r="G198" s="85" t="s">
        <v>598</v>
      </c>
      <c r="H198" s="85" t="s">
        <v>45</v>
      </c>
      <c r="I198" s="85" t="s">
        <v>596</v>
      </c>
      <c r="J198" s="87">
        <v>792</v>
      </c>
      <c r="K198" s="88">
        <v>42449</v>
      </c>
      <c r="L198" s="89"/>
      <c r="M198" s="85" t="s">
        <v>21</v>
      </c>
      <c r="N198" s="85" t="s">
        <v>15</v>
      </c>
      <c r="O198" s="90">
        <v>1E-3</v>
      </c>
      <c r="P198" s="91">
        <v>0.05</v>
      </c>
    </row>
    <row r="199" spans="1:16">
      <c r="A199" s="41" t="s">
        <v>594</v>
      </c>
      <c r="B199" s="85" t="s">
        <v>16</v>
      </c>
      <c r="C199" s="85" t="s">
        <v>137</v>
      </c>
      <c r="D199" s="85" t="s">
        <v>66</v>
      </c>
      <c r="E199" s="85" t="s">
        <v>14</v>
      </c>
      <c r="F199" s="85" t="s">
        <v>116</v>
      </c>
      <c r="G199" s="85" t="s">
        <v>599</v>
      </c>
      <c r="H199" s="85" t="s">
        <v>45</v>
      </c>
      <c r="I199" s="85" t="s">
        <v>596</v>
      </c>
      <c r="J199" s="87">
        <v>792</v>
      </c>
      <c r="K199" s="88">
        <v>42449</v>
      </c>
      <c r="L199" s="89"/>
      <c r="M199" s="85" t="s">
        <v>22</v>
      </c>
      <c r="N199" s="85" t="s">
        <v>15</v>
      </c>
      <c r="O199" s="90">
        <v>1E-3</v>
      </c>
      <c r="P199" s="91">
        <v>0.05</v>
      </c>
    </row>
    <row r="200" spans="1:16">
      <c r="A200" s="41" t="s">
        <v>594</v>
      </c>
      <c r="B200" s="85" t="s">
        <v>16</v>
      </c>
      <c r="C200" s="85" t="s">
        <v>137</v>
      </c>
      <c r="D200" s="85" t="s">
        <v>66</v>
      </c>
      <c r="E200" s="85" t="s">
        <v>14</v>
      </c>
      <c r="F200" s="85" t="s">
        <v>192</v>
      </c>
      <c r="G200" s="85" t="s">
        <v>600</v>
      </c>
      <c r="H200" s="85" t="s">
        <v>45</v>
      </c>
      <c r="I200" s="85" t="s">
        <v>596</v>
      </c>
      <c r="J200" s="87">
        <v>792</v>
      </c>
      <c r="K200" s="88">
        <v>42449</v>
      </c>
      <c r="L200" s="89"/>
      <c r="M200" s="85" t="s">
        <v>52</v>
      </c>
      <c r="N200" s="85" t="s">
        <v>15</v>
      </c>
      <c r="O200" s="90">
        <v>1E-3</v>
      </c>
      <c r="P200" s="91">
        <v>0.05</v>
      </c>
    </row>
    <row r="201" spans="1:16">
      <c r="A201" s="41" t="s">
        <v>594</v>
      </c>
      <c r="B201" s="85" t="s">
        <v>16</v>
      </c>
      <c r="C201" s="85" t="s">
        <v>137</v>
      </c>
      <c r="D201" s="85" t="s">
        <v>66</v>
      </c>
      <c r="E201" s="85" t="s">
        <v>14</v>
      </c>
      <c r="F201" s="85" t="s">
        <v>601</v>
      </c>
      <c r="G201" s="85" t="s">
        <v>602</v>
      </c>
      <c r="H201" s="85" t="s">
        <v>45</v>
      </c>
      <c r="I201" s="85" t="s">
        <v>596</v>
      </c>
      <c r="J201" s="87">
        <v>792</v>
      </c>
      <c r="K201" s="88">
        <v>42449</v>
      </c>
      <c r="L201" s="89"/>
      <c r="M201" s="85" t="s">
        <v>21</v>
      </c>
      <c r="N201" s="85" t="s">
        <v>15</v>
      </c>
      <c r="O201" s="90">
        <v>1E-3</v>
      </c>
      <c r="P201" s="91">
        <v>0.05</v>
      </c>
    </row>
    <row r="202" spans="1:16" ht="26.25">
      <c r="A202" s="41" t="s">
        <v>136</v>
      </c>
      <c r="B202" s="85" t="s">
        <v>12</v>
      </c>
      <c r="C202" s="85" t="s">
        <v>137</v>
      </c>
      <c r="D202" s="85" t="s">
        <v>66</v>
      </c>
      <c r="E202" s="85" t="s">
        <v>14</v>
      </c>
      <c r="F202" s="85" t="s">
        <v>144</v>
      </c>
      <c r="G202" s="85" t="s">
        <v>145</v>
      </c>
      <c r="H202" s="85" t="s">
        <v>140</v>
      </c>
      <c r="I202" s="85" t="s">
        <v>141</v>
      </c>
      <c r="J202" s="87">
        <v>608</v>
      </c>
      <c r="K202" s="88">
        <v>42265</v>
      </c>
      <c r="L202" s="89" t="s">
        <v>19</v>
      </c>
      <c r="M202" s="85" t="s">
        <v>22</v>
      </c>
      <c r="N202" s="85" t="s">
        <v>15</v>
      </c>
      <c r="O202" s="90">
        <v>1E-3</v>
      </c>
      <c r="P202" s="91"/>
    </row>
    <row r="203" spans="1:16">
      <c r="A203" s="41" t="s">
        <v>594</v>
      </c>
      <c r="B203" s="85" t="s">
        <v>16</v>
      </c>
      <c r="C203" s="85" t="s">
        <v>137</v>
      </c>
      <c r="D203" s="85" t="s">
        <v>66</v>
      </c>
      <c r="E203" s="85" t="s">
        <v>14</v>
      </c>
      <c r="F203" s="85" t="s">
        <v>113</v>
      </c>
      <c r="G203" s="85" t="s">
        <v>603</v>
      </c>
      <c r="H203" s="85" t="s">
        <v>45</v>
      </c>
      <c r="I203" s="85" t="s">
        <v>596</v>
      </c>
      <c r="J203" s="87">
        <v>974</v>
      </c>
      <c r="K203" s="88">
        <v>42631</v>
      </c>
      <c r="L203" s="89"/>
      <c r="M203" s="85" t="s">
        <v>22</v>
      </c>
      <c r="N203" s="85" t="s">
        <v>15</v>
      </c>
      <c r="O203" s="90">
        <v>1E-3</v>
      </c>
      <c r="P203" s="91">
        <v>0.05</v>
      </c>
    </row>
    <row r="204" spans="1:16">
      <c r="A204" s="41" t="s">
        <v>594</v>
      </c>
      <c r="B204" s="85" t="s">
        <v>16</v>
      </c>
      <c r="C204" s="85" t="s">
        <v>137</v>
      </c>
      <c r="D204" s="85" t="s">
        <v>66</v>
      </c>
      <c r="E204" s="85" t="s">
        <v>14</v>
      </c>
      <c r="F204" s="85" t="s">
        <v>320</v>
      </c>
      <c r="G204" s="85" t="s">
        <v>604</v>
      </c>
      <c r="H204" s="85" t="s">
        <v>45</v>
      </c>
      <c r="I204" s="85" t="s">
        <v>596</v>
      </c>
      <c r="J204" s="87">
        <v>1339</v>
      </c>
      <c r="K204" s="88">
        <v>42996</v>
      </c>
      <c r="L204" s="89"/>
      <c r="M204" s="85" t="s">
        <v>52</v>
      </c>
      <c r="N204" s="85" t="s">
        <v>15</v>
      </c>
      <c r="O204" s="90">
        <v>1E-3</v>
      </c>
      <c r="P204" s="91">
        <v>0.05</v>
      </c>
    </row>
    <row r="205" spans="1:16">
      <c r="A205" s="41" t="s">
        <v>622</v>
      </c>
      <c r="B205" s="85" t="s">
        <v>16</v>
      </c>
      <c r="C205" s="85" t="s">
        <v>0</v>
      </c>
      <c r="D205" s="85" t="s">
        <v>54</v>
      </c>
      <c r="E205" s="85" t="s">
        <v>14</v>
      </c>
      <c r="F205" s="85" t="s">
        <v>244</v>
      </c>
      <c r="G205" s="85" t="s">
        <v>625</v>
      </c>
      <c r="H205" s="85" t="s">
        <v>45</v>
      </c>
      <c r="I205" s="85" t="s">
        <v>624</v>
      </c>
      <c r="J205" s="87">
        <v>662</v>
      </c>
      <c r="K205" s="88">
        <v>42319</v>
      </c>
      <c r="L205" s="89"/>
      <c r="M205" s="85" t="s">
        <v>21</v>
      </c>
      <c r="N205" s="85" t="s">
        <v>15</v>
      </c>
      <c r="O205" s="90">
        <v>0</v>
      </c>
      <c r="P205" s="91">
        <v>0.05</v>
      </c>
    </row>
    <row r="206" spans="1:16">
      <c r="A206" s="41" t="s">
        <v>622</v>
      </c>
      <c r="B206" s="85" t="s">
        <v>16</v>
      </c>
      <c r="C206" s="85" t="s">
        <v>0</v>
      </c>
      <c r="D206" s="85" t="s">
        <v>54</v>
      </c>
      <c r="E206" s="85" t="s">
        <v>14</v>
      </c>
      <c r="F206" s="85" t="s">
        <v>43</v>
      </c>
      <c r="G206" s="85" t="s">
        <v>623</v>
      </c>
      <c r="H206" s="85" t="s">
        <v>45</v>
      </c>
      <c r="I206" s="85" t="s">
        <v>624</v>
      </c>
      <c r="J206" s="87">
        <v>1392</v>
      </c>
      <c r="K206" s="88">
        <v>43049</v>
      </c>
      <c r="L206" s="89"/>
      <c r="M206" s="85" t="s">
        <v>52</v>
      </c>
      <c r="N206" s="85" t="s">
        <v>15</v>
      </c>
      <c r="O206" s="90">
        <v>0</v>
      </c>
      <c r="P206" s="91">
        <v>0.05</v>
      </c>
    </row>
    <row r="207" spans="1:16">
      <c r="A207" s="41" t="s">
        <v>622</v>
      </c>
      <c r="B207" s="85" t="s">
        <v>16</v>
      </c>
      <c r="C207" s="85" t="s">
        <v>0</v>
      </c>
      <c r="D207" s="85" t="s">
        <v>54</v>
      </c>
      <c r="E207" s="85" t="s">
        <v>14</v>
      </c>
      <c r="F207" s="85" t="s">
        <v>369</v>
      </c>
      <c r="G207" s="85" t="s">
        <v>626</v>
      </c>
      <c r="H207" s="85" t="s">
        <v>45</v>
      </c>
      <c r="I207" s="85" t="s">
        <v>624</v>
      </c>
      <c r="J207" s="87">
        <v>1392</v>
      </c>
      <c r="K207" s="88">
        <v>43049</v>
      </c>
      <c r="L207" s="89"/>
      <c r="M207" s="85" t="s">
        <v>20</v>
      </c>
      <c r="N207" s="85" t="s">
        <v>15</v>
      </c>
      <c r="O207" s="90">
        <v>0</v>
      </c>
      <c r="P207" s="91">
        <v>0.05</v>
      </c>
    </row>
    <row r="208" spans="1:16">
      <c r="A208" s="41" t="s">
        <v>622</v>
      </c>
      <c r="B208" s="85" t="s">
        <v>16</v>
      </c>
      <c r="C208" s="85" t="s">
        <v>0</v>
      </c>
      <c r="D208" s="85" t="s">
        <v>42</v>
      </c>
      <c r="E208" s="85" t="s">
        <v>14</v>
      </c>
      <c r="F208" s="85" t="s">
        <v>149</v>
      </c>
      <c r="G208" s="85" t="s">
        <v>627</v>
      </c>
      <c r="H208" s="85" t="s">
        <v>45</v>
      </c>
      <c r="I208" s="85" t="s">
        <v>624</v>
      </c>
      <c r="J208" s="87">
        <v>1</v>
      </c>
      <c r="K208" s="88">
        <v>41658</v>
      </c>
      <c r="L208" s="89"/>
      <c r="M208" s="85" t="s">
        <v>21</v>
      </c>
      <c r="N208" s="85" t="s">
        <v>15</v>
      </c>
      <c r="O208" s="90">
        <v>0</v>
      </c>
      <c r="P208" s="91">
        <v>0.03</v>
      </c>
    </row>
    <row r="209" spans="1:16">
      <c r="A209" s="41" t="s">
        <v>483</v>
      </c>
      <c r="B209" s="85" t="s">
        <v>16</v>
      </c>
      <c r="C209" s="85" t="s">
        <v>0</v>
      </c>
      <c r="D209" s="85" t="s">
        <v>42</v>
      </c>
      <c r="E209" s="85" t="s">
        <v>14</v>
      </c>
      <c r="F209" s="85" t="s">
        <v>108</v>
      </c>
      <c r="G209" s="85" t="s">
        <v>484</v>
      </c>
      <c r="H209" s="85" t="s">
        <v>45</v>
      </c>
      <c r="I209" s="85" t="s">
        <v>485</v>
      </c>
      <c r="J209" s="87">
        <v>1249</v>
      </c>
      <c r="K209" s="88">
        <v>42906</v>
      </c>
      <c r="L209" s="89"/>
      <c r="M209" s="85" t="s">
        <v>52</v>
      </c>
      <c r="N209" s="85" t="s">
        <v>15</v>
      </c>
      <c r="O209" s="90">
        <v>1E-3</v>
      </c>
      <c r="P209" s="91">
        <v>0.05</v>
      </c>
    </row>
    <row r="210" spans="1:16">
      <c r="A210" s="41" t="s">
        <v>483</v>
      </c>
      <c r="B210" s="85" t="s">
        <v>16</v>
      </c>
      <c r="C210" s="85" t="s">
        <v>0</v>
      </c>
      <c r="D210" s="85" t="s">
        <v>42</v>
      </c>
      <c r="E210" s="85" t="s">
        <v>14</v>
      </c>
      <c r="F210" s="85" t="s">
        <v>43</v>
      </c>
      <c r="G210" s="85" t="s">
        <v>486</v>
      </c>
      <c r="H210" s="85" t="s">
        <v>45</v>
      </c>
      <c r="I210" s="85" t="s">
        <v>485</v>
      </c>
      <c r="J210" s="87">
        <v>1249</v>
      </c>
      <c r="K210" s="88">
        <v>42906</v>
      </c>
      <c r="L210" s="89"/>
      <c r="M210" s="85" t="s">
        <v>20</v>
      </c>
      <c r="N210" s="85" t="s">
        <v>15</v>
      </c>
      <c r="O210" s="90">
        <v>1E-3</v>
      </c>
      <c r="P210" s="91">
        <v>0.05</v>
      </c>
    </row>
    <row r="211" spans="1:16">
      <c r="A211" s="41" t="s">
        <v>483</v>
      </c>
      <c r="B211" s="85" t="s">
        <v>16</v>
      </c>
      <c r="C211" s="85" t="s">
        <v>0</v>
      </c>
      <c r="D211" s="85" t="s">
        <v>42</v>
      </c>
      <c r="E211" s="85" t="s">
        <v>14</v>
      </c>
      <c r="F211" s="85" t="s">
        <v>212</v>
      </c>
      <c r="G211" s="85" t="s">
        <v>487</v>
      </c>
      <c r="H211" s="85" t="s">
        <v>45</v>
      </c>
      <c r="I211" s="85" t="s">
        <v>485</v>
      </c>
      <c r="J211" s="87">
        <v>1249</v>
      </c>
      <c r="K211" s="88">
        <v>42906</v>
      </c>
      <c r="L211" s="89"/>
      <c r="M211" s="85" t="s">
        <v>21</v>
      </c>
      <c r="N211" s="85" t="s">
        <v>15</v>
      </c>
      <c r="O211" s="90">
        <v>1E-3</v>
      </c>
      <c r="P211" s="91">
        <v>0.05</v>
      </c>
    </row>
    <row r="212" spans="1:16" ht="26.25">
      <c r="A212" s="41" t="s">
        <v>673</v>
      </c>
      <c r="B212" s="85" t="s">
        <v>12</v>
      </c>
      <c r="C212" s="85" t="s">
        <v>0</v>
      </c>
      <c r="D212" s="85" t="s">
        <v>60</v>
      </c>
      <c r="E212" s="85" t="s">
        <v>61</v>
      </c>
      <c r="F212" s="85" t="s">
        <v>217</v>
      </c>
      <c r="G212" s="85" t="s">
        <v>218</v>
      </c>
      <c r="H212" s="85" t="s">
        <v>219</v>
      </c>
      <c r="I212" s="85" t="s">
        <v>220</v>
      </c>
      <c r="J212" s="87">
        <v>2</v>
      </c>
      <c r="K212" s="88">
        <v>41659</v>
      </c>
      <c r="L212" s="89" t="s">
        <v>19</v>
      </c>
      <c r="M212" s="85" t="s">
        <v>22</v>
      </c>
      <c r="N212" s="85" t="s">
        <v>660</v>
      </c>
      <c r="O212" s="90">
        <v>0</v>
      </c>
      <c r="P212" s="91"/>
    </row>
    <row r="213" spans="1:16" ht="26.25">
      <c r="A213" s="41" t="s">
        <v>191</v>
      </c>
      <c r="B213" s="85" t="s">
        <v>12</v>
      </c>
      <c r="C213" s="85" t="s">
        <v>0</v>
      </c>
      <c r="D213" s="85" t="s">
        <v>54</v>
      </c>
      <c r="E213" s="85" t="s">
        <v>14</v>
      </c>
      <c r="F213" s="85" t="s">
        <v>192</v>
      </c>
      <c r="G213" s="85" t="s">
        <v>193</v>
      </c>
      <c r="H213" s="85" t="s">
        <v>45</v>
      </c>
      <c r="I213" s="85" t="s">
        <v>194</v>
      </c>
      <c r="J213" s="87">
        <v>654</v>
      </c>
      <c r="K213" s="88">
        <v>42311</v>
      </c>
      <c r="L213" s="89" t="s">
        <v>19</v>
      </c>
      <c r="M213" s="85" t="s">
        <v>22</v>
      </c>
      <c r="N213" s="85" t="s">
        <v>15</v>
      </c>
      <c r="O213" s="90">
        <v>1E-3</v>
      </c>
      <c r="P213" s="91"/>
    </row>
    <row r="214" spans="1:16" ht="26.25">
      <c r="A214" s="41" t="s">
        <v>191</v>
      </c>
      <c r="B214" s="85" t="s">
        <v>12</v>
      </c>
      <c r="C214" s="85" t="s">
        <v>0</v>
      </c>
      <c r="D214" s="85" t="s">
        <v>54</v>
      </c>
      <c r="E214" s="85" t="s">
        <v>14</v>
      </c>
      <c r="F214" s="85" t="s">
        <v>151</v>
      </c>
      <c r="G214" s="85" t="s">
        <v>195</v>
      </c>
      <c r="H214" s="85" t="s">
        <v>45</v>
      </c>
      <c r="I214" s="85" t="s">
        <v>194</v>
      </c>
      <c r="J214" s="87">
        <v>1018</v>
      </c>
      <c r="K214" s="88">
        <v>42675</v>
      </c>
      <c r="L214" s="89" t="s">
        <v>19</v>
      </c>
      <c r="M214" s="85" t="s">
        <v>52</v>
      </c>
      <c r="N214" s="85" t="s">
        <v>15</v>
      </c>
      <c r="O214" s="90">
        <v>1E-3</v>
      </c>
      <c r="P214" s="91"/>
    </row>
    <row r="215" spans="1:16" ht="26.25">
      <c r="A215" s="41" t="s">
        <v>191</v>
      </c>
      <c r="B215" s="85" t="s">
        <v>12</v>
      </c>
      <c r="C215" s="85" t="s">
        <v>0</v>
      </c>
      <c r="D215" s="85" t="s">
        <v>54</v>
      </c>
      <c r="E215" s="85" t="s">
        <v>14</v>
      </c>
      <c r="F215" s="85" t="s">
        <v>196</v>
      </c>
      <c r="G215" s="85" t="s">
        <v>197</v>
      </c>
      <c r="H215" s="85" t="s">
        <v>45</v>
      </c>
      <c r="I215" s="85" t="s">
        <v>194</v>
      </c>
      <c r="J215" s="87">
        <v>1018</v>
      </c>
      <c r="K215" s="88">
        <v>42675</v>
      </c>
      <c r="L215" s="89" t="s">
        <v>19</v>
      </c>
      <c r="M215" s="85" t="s">
        <v>20</v>
      </c>
      <c r="N215" s="85" t="s">
        <v>15</v>
      </c>
      <c r="O215" s="90">
        <v>1E-3</v>
      </c>
      <c r="P215" s="91"/>
    </row>
    <row r="216" spans="1:16">
      <c r="A216" s="41" t="s">
        <v>510</v>
      </c>
      <c r="B216" s="85" t="s">
        <v>16</v>
      </c>
      <c r="C216" s="85" t="s">
        <v>356</v>
      </c>
      <c r="D216" s="85" t="s">
        <v>54</v>
      </c>
      <c r="E216" s="85" t="s">
        <v>14</v>
      </c>
      <c r="F216" s="85" t="s">
        <v>256</v>
      </c>
      <c r="G216" s="85" t="s">
        <v>511</v>
      </c>
      <c r="H216" s="85" t="s">
        <v>45</v>
      </c>
      <c r="I216" s="85" t="s">
        <v>512</v>
      </c>
      <c r="J216" s="87">
        <v>1028</v>
      </c>
      <c r="K216" s="88">
        <v>42685</v>
      </c>
      <c r="L216" s="89"/>
      <c r="M216" s="85" t="s">
        <v>21</v>
      </c>
      <c r="N216" s="85" t="s">
        <v>15</v>
      </c>
      <c r="O216" s="90">
        <v>1E-3</v>
      </c>
      <c r="P216" s="91">
        <v>0.05</v>
      </c>
    </row>
    <row r="217" spans="1:16">
      <c r="A217" s="41" t="s">
        <v>517</v>
      </c>
      <c r="B217" s="85" t="s">
        <v>16</v>
      </c>
      <c r="C217" s="85" t="s">
        <v>356</v>
      </c>
      <c r="D217" s="85" t="s">
        <v>54</v>
      </c>
      <c r="E217" s="85" t="s">
        <v>14</v>
      </c>
      <c r="F217" s="85" t="s">
        <v>256</v>
      </c>
      <c r="G217" s="85" t="s">
        <v>684</v>
      </c>
      <c r="H217" s="85" t="s">
        <v>132</v>
      </c>
      <c r="I217" s="85" t="s">
        <v>518</v>
      </c>
      <c r="J217" s="87">
        <v>1028</v>
      </c>
      <c r="K217" s="88">
        <v>42685</v>
      </c>
      <c r="L217" s="89"/>
      <c r="M217" s="85" t="s">
        <v>52</v>
      </c>
      <c r="N217" s="85" t="s">
        <v>15</v>
      </c>
      <c r="O217" s="90">
        <v>1E-3</v>
      </c>
      <c r="P217" s="91">
        <v>0.05</v>
      </c>
    </row>
    <row r="218" spans="1:16">
      <c r="A218" s="41" t="s">
        <v>510</v>
      </c>
      <c r="B218" s="85" t="s">
        <v>16</v>
      </c>
      <c r="C218" s="85" t="s">
        <v>356</v>
      </c>
      <c r="D218" s="85" t="s">
        <v>54</v>
      </c>
      <c r="E218" s="85" t="s">
        <v>14</v>
      </c>
      <c r="F218" s="85" t="s">
        <v>165</v>
      </c>
      <c r="G218" s="85" t="s">
        <v>513</v>
      </c>
      <c r="H218" s="85" t="s">
        <v>45</v>
      </c>
      <c r="I218" s="85" t="s">
        <v>512</v>
      </c>
      <c r="J218" s="87">
        <v>1614</v>
      </c>
      <c r="K218" s="88">
        <v>43271</v>
      </c>
      <c r="L218" s="89"/>
      <c r="M218" s="85" t="s">
        <v>20</v>
      </c>
      <c r="N218" s="85" t="s">
        <v>15</v>
      </c>
      <c r="O218" s="90">
        <v>1E-3</v>
      </c>
      <c r="P218" s="91">
        <v>0.05</v>
      </c>
    </row>
    <row r="219" spans="1:16">
      <c r="A219" s="41" t="s">
        <v>517</v>
      </c>
      <c r="B219" s="85" t="s">
        <v>16</v>
      </c>
      <c r="C219" s="85" t="s">
        <v>356</v>
      </c>
      <c r="D219" s="85" t="s">
        <v>54</v>
      </c>
      <c r="E219" s="85" t="s">
        <v>14</v>
      </c>
      <c r="F219" s="85" t="s">
        <v>165</v>
      </c>
      <c r="G219" s="85" t="s">
        <v>513</v>
      </c>
      <c r="H219" s="85" t="s">
        <v>132</v>
      </c>
      <c r="I219" s="85" t="s">
        <v>518</v>
      </c>
      <c r="J219" s="87">
        <v>1614</v>
      </c>
      <c r="K219" s="88">
        <v>43271</v>
      </c>
      <c r="L219" s="89"/>
      <c r="M219" s="85" t="s">
        <v>20</v>
      </c>
      <c r="N219" s="85" t="s">
        <v>15</v>
      </c>
      <c r="O219" s="90">
        <v>1E-3</v>
      </c>
      <c r="P219" s="91">
        <v>0.05</v>
      </c>
    </row>
    <row r="220" spans="1:16">
      <c r="A220" s="41" t="s">
        <v>510</v>
      </c>
      <c r="B220" s="85" t="s">
        <v>16</v>
      </c>
      <c r="C220" s="85" t="s">
        <v>356</v>
      </c>
      <c r="D220" s="85" t="s">
        <v>110</v>
      </c>
      <c r="E220" s="85" t="s">
        <v>14</v>
      </c>
      <c r="F220" s="85" t="s">
        <v>514</v>
      </c>
      <c r="G220" s="85" t="s">
        <v>515</v>
      </c>
      <c r="H220" s="85" t="s">
        <v>45</v>
      </c>
      <c r="I220" s="85" t="s">
        <v>512</v>
      </c>
      <c r="J220" s="87">
        <v>1583</v>
      </c>
      <c r="K220" s="88">
        <v>43240</v>
      </c>
      <c r="L220" s="89"/>
      <c r="M220" s="85" t="s">
        <v>21</v>
      </c>
      <c r="N220" s="85" t="s">
        <v>15</v>
      </c>
      <c r="O220" s="90">
        <v>1E-3</v>
      </c>
      <c r="P220" s="91">
        <v>0.05</v>
      </c>
    </row>
    <row r="221" spans="1:16" ht="26.25">
      <c r="A221" s="41" t="s">
        <v>126</v>
      </c>
      <c r="B221" s="85" t="s">
        <v>12</v>
      </c>
      <c r="C221" s="85" t="s">
        <v>356</v>
      </c>
      <c r="D221" s="85" t="s">
        <v>60</v>
      </c>
      <c r="E221" s="85" t="s">
        <v>14</v>
      </c>
      <c r="F221" s="85" t="s">
        <v>127</v>
      </c>
      <c r="G221" s="85" t="s">
        <v>128</v>
      </c>
      <c r="H221" s="85" t="s">
        <v>45</v>
      </c>
      <c r="I221" s="85" t="s">
        <v>129</v>
      </c>
      <c r="J221" s="87">
        <v>1400</v>
      </c>
      <c r="K221" s="88">
        <v>43057</v>
      </c>
      <c r="L221" s="89" t="s">
        <v>19</v>
      </c>
      <c r="M221" s="85" t="s">
        <v>20</v>
      </c>
      <c r="N221" s="85" t="s">
        <v>15</v>
      </c>
      <c r="O221" s="90">
        <v>1E-3</v>
      </c>
      <c r="P221" s="91"/>
    </row>
    <row r="222" spans="1:16">
      <c r="A222" s="41" t="s">
        <v>562</v>
      </c>
      <c r="B222" s="85" t="s">
        <v>16</v>
      </c>
      <c r="C222" s="85" t="s">
        <v>0</v>
      </c>
      <c r="D222" s="85" t="s">
        <v>42</v>
      </c>
      <c r="E222" s="85" t="s">
        <v>14</v>
      </c>
      <c r="F222" s="85" t="s">
        <v>270</v>
      </c>
      <c r="G222" s="85" t="s">
        <v>565</v>
      </c>
      <c r="H222" s="85" t="s">
        <v>45</v>
      </c>
      <c r="I222" s="85" t="s">
        <v>564</v>
      </c>
      <c r="J222" s="87">
        <v>1046</v>
      </c>
      <c r="K222" s="88">
        <v>42703</v>
      </c>
      <c r="L222" s="89"/>
      <c r="M222" s="85" t="s">
        <v>20</v>
      </c>
      <c r="N222" s="85" t="s">
        <v>15</v>
      </c>
      <c r="O222" s="90">
        <v>1E-3</v>
      </c>
      <c r="P222" s="91">
        <v>0.05</v>
      </c>
    </row>
    <row r="223" spans="1:16">
      <c r="A223" s="41" t="s">
        <v>562</v>
      </c>
      <c r="B223" s="85" t="s">
        <v>16</v>
      </c>
      <c r="C223" s="85" t="s">
        <v>0</v>
      </c>
      <c r="D223" s="85" t="s">
        <v>42</v>
      </c>
      <c r="E223" s="85" t="s">
        <v>14</v>
      </c>
      <c r="F223" s="85" t="s">
        <v>311</v>
      </c>
      <c r="G223" s="85" t="s">
        <v>563</v>
      </c>
      <c r="H223" s="85" t="s">
        <v>45</v>
      </c>
      <c r="I223" s="85" t="s">
        <v>564</v>
      </c>
      <c r="J223" s="87">
        <v>1411</v>
      </c>
      <c r="K223" s="88">
        <v>43068</v>
      </c>
      <c r="L223" s="89"/>
      <c r="M223" s="85" t="s">
        <v>21</v>
      </c>
      <c r="N223" s="85" t="s">
        <v>15</v>
      </c>
      <c r="O223" s="90">
        <v>1E-3</v>
      </c>
      <c r="P223" s="91">
        <v>0.05</v>
      </c>
    </row>
    <row r="224" spans="1:16">
      <c r="A224" s="41" t="s">
        <v>562</v>
      </c>
      <c r="B224" s="85" t="s">
        <v>16</v>
      </c>
      <c r="C224" s="85" t="s">
        <v>356</v>
      </c>
      <c r="D224" s="85" t="s">
        <v>110</v>
      </c>
      <c r="E224" s="85" t="s">
        <v>14</v>
      </c>
      <c r="F224" s="85" t="s">
        <v>566</v>
      </c>
      <c r="G224" s="85" t="s">
        <v>567</v>
      </c>
      <c r="H224" s="85" t="s">
        <v>45</v>
      </c>
      <c r="I224" s="85" t="s">
        <v>564</v>
      </c>
      <c r="J224" s="87">
        <v>1776</v>
      </c>
      <c r="K224" s="88">
        <v>43433</v>
      </c>
      <c r="L224" s="89"/>
      <c r="M224" s="85" t="s">
        <v>21</v>
      </c>
      <c r="N224" s="85" t="s">
        <v>15</v>
      </c>
      <c r="O224" s="90">
        <v>1E-3</v>
      </c>
      <c r="P224" s="91">
        <v>0.05</v>
      </c>
    </row>
    <row r="225" spans="1:16">
      <c r="A225" s="41" t="s">
        <v>463</v>
      </c>
      <c r="B225" s="85" t="s">
        <v>16</v>
      </c>
      <c r="C225" s="85" t="s">
        <v>137</v>
      </c>
      <c r="D225" s="85" t="s">
        <v>66</v>
      </c>
      <c r="E225" s="85" t="s">
        <v>14</v>
      </c>
      <c r="F225" s="85" t="s">
        <v>49</v>
      </c>
      <c r="G225" s="85" t="s">
        <v>464</v>
      </c>
      <c r="H225" s="85" t="s">
        <v>45</v>
      </c>
      <c r="I225" s="85" t="s">
        <v>465</v>
      </c>
      <c r="J225" s="87">
        <v>1002</v>
      </c>
      <c r="K225" s="88">
        <v>42659</v>
      </c>
      <c r="L225" s="89"/>
      <c r="M225" s="85" t="s">
        <v>21</v>
      </c>
      <c r="N225" s="85" t="s">
        <v>15</v>
      </c>
      <c r="O225" s="90">
        <v>1E-3</v>
      </c>
      <c r="P225" s="91">
        <v>0.05</v>
      </c>
    </row>
    <row r="226" spans="1:16" ht="26.25">
      <c r="A226" s="41" t="s">
        <v>308</v>
      </c>
      <c r="B226" s="85" t="s">
        <v>12</v>
      </c>
      <c r="C226" s="85" t="s">
        <v>364</v>
      </c>
      <c r="D226" s="85" t="s">
        <v>54</v>
      </c>
      <c r="E226" s="85" t="s">
        <v>61</v>
      </c>
      <c r="F226" s="85" t="s">
        <v>49</v>
      </c>
      <c r="G226" s="85" t="s">
        <v>309</v>
      </c>
      <c r="H226" s="85" t="s">
        <v>188</v>
      </c>
      <c r="I226" s="85" t="s">
        <v>310</v>
      </c>
      <c r="J226" s="87">
        <v>646</v>
      </c>
      <c r="K226" s="88">
        <v>42303</v>
      </c>
      <c r="L226" s="89" t="s">
        <v>19</v>
      </c>
      <c r="M226" s="85" t="s">
        <v>20</v>
      </c>
      <c r="N226" s="85" t="s">
        <v>660</v>
      </c>
      <c r="O226" s="90">
        <v>0</v>
      </c>
      <c r="P226" s="91"/>
    </row>
    <row r="227" spans="1:16">
      <c r="A227" s="41" t="s">
        <v>519</v>
      </c>
      <c r="B227" s="85" t="s">
        <v>16</v>
      </c>
      <c r="C227" s="85" t="s">
        <v>137</v>
      </c>
      <c r="D227" s="85" t="s">
        <v>60</v>
      </c>
      <c r="E227" s="85" t="s">
        <v>14</v>
      </c>
      <c r="F227" s="85" t="s">
        <v>244</v>
      </c>
      <c r="G227" s="85" t="s">
        <v>520</v>
      </c>
      <c r="H227" s="85" t="s">
        <v>45</v>
      </c>
      <c r="I227" s="85" t="s">
        <v>521</v>
      </c>
      <c r="J227" s="87">
        <v>1249</v>
      </c>
      <c r="K227" s="88">
        <v>42906</v>
      </c>
      <c r="L227" s="89"/>
      <c r="M227" s="85" t="s">
        <v>22</v>
      </c>
      <c r="N227" s="85" t="s">
        <v>15</v>
      </c>
      <c r="O227" s="90">
        <v>1E-3</v>
      </c>
      <c r="P227" s="91">
        <v>0.05</v>
      </c>
    </row>
    <row r="228" spans="1:16">
      <c r="A228" s="41" t="s">
        <v>432</v>
      </c>
      <c r="B228" s="85" t="s">
        <v>16</v>
      </c>
      <c r="C228" s="85" t="s">
        <v>0</v>
      </c>
      <c r="D228" s="85" t="s">
        <v>42</v>
      </c>
      <c r="E228" s="85" t="s">
        <v>14</v>
      </c>
      <c r="F228" s="85" t="s">
        <v>196</v>
      </c>
      <c r="G228" s="85" t="s">
        <v>433</v>
      </c>
      <c r="H228" s="85" t="s">
        <v>45</v>
      </c>
      <c r="I228" s="85" t="s">
        <v>434</v>
      </c>
      <c r="J228" s="87">
        <v>1054</v>
      </c>
      <c r="K228" s="88">
        <v>42711</v>
      </c>
      <c r="L228" s="89"/>
      <c r="M228" s="85" t="s">
        <v>21</v>
      </c>
      <c r="N228" s="85" t="s">
        <v>15</v>
      </c>
      <c r="O228" s="90">
        <v>1E-3</v>
      </c>
      <c r="P228" s="91">
        <v>0.05</v>
      </c>
    </row>
    <row r="229" spans="1:16">
      <c r="A229" s="41" t="s">
        <v>432</v>
      </c>
      <c r="B229" s="85" t="s">
        <v>16</v>
      </c>
      <c r="C229" s="85" t="s">
        <v>0</v>
      </c>
      <c r="D229" s="85" t="s">
        <v>42</v>
      </c>
      <c r="E229" s="85" t="s">
        <v>14</v>
      </c>
      <c r="F229" s="85" t="s">
        <v>381</v>
      </c>
      <c r="G229" s="85" t="s">
        <v>435</v>
      </c>
      <c r="H229" s="85" t="s">
        <v>45</v>
      </c>
      <c r="I229" s="85" t="s">
        <v>434</v>
      </c>
      <c r="J229" s="87">
        <v>1419</v>
      </c>
      <c r="K229" s="88">
        <v>43076</v>
      </c>
      <c r="L229" s="89"/>
      <c r="M229" s="85" t="s">
        <v>20</v>
      </c>
      <c r="N229" s="85" t="s">
        <v>15</v>
      </c>
      <c r="O229" s="90">
        <v>1E-3</v>
      </c>
      <c r="P229" s="91">
        <v>0.05</v>
      </c>
    </row>
    <row r="230" spans="1:16">
      <c r="A230" s="41" t="s">
        <v>432</v>
      </c>
      <c r="B230" s="85" t="s">
        <v>16</v>
      </c>
      <c r="C230" s="85" t="s">
        <v>356</v>
      </c>
      <c r="D230" s="85" t="s">
        <v>110</v>
      </c>
      <c r="E230" s="85" t="s">
        <v>14</v>
      </c>
      <c r="F230" s="85" t="s">
        <v>385</v>
      </c>
      <c r="G230" s="85" t="s">
        <v>436</v>
      </c>
      <c r="H230" s="85" t="s">
        <v>45</v>
      </c>
      <c r="I230" s="85" t="s">
        <v>434</v>
      </c>
      <c r="J230" s="87">
        <v>1614</v>
      </c>
      <c r="K230" s="88">
        <v>43271</v>
      </c>
      <c r="L230" s="89"/>
      <c r="M230" s="85" t="s">
        <v>21</v>
      </c>
      <c r="N230" s="85" t="s">
        <v>15</v>
      </c>
      <c r="O230" s="90">
        <v>1E-3</v>
      </c>
      <c r="P230" s="91">
        <v>0.05</v>
      </c>
    </row>
    <row r="231" spans="1:16" ht="26.25">
      <c r="A231" s="41" t="s">
        <v>314</v>
      </c>
      <c r="B231" s="85" t="s">
        <v>12</v>
      </c>
      <c r="C231" s="85" t="s">
        <v>356</v>
      </c>
      <c r="D231" s="85" t="s">
        <v>54</v>
      </c>
      <c r="E231" s="85" t="s">
        <v>14</v>
      </c>
      <c r="F231" s="85" t="s">
        <v>149</v>
      </c>
      <c r="G231" s="85" t="s">
        <v>315</v>
      </c>
      <c r="H231" s="85" t="s">
        <v>45</v>
      </c>
      <c r="I231" s="85" t="s">
        <v>316</v>
      </c>
      <c r="J231" s="87">
        <v>683</v>
      </c>
      <c r="K231" s="88">
        <v>42340</v>
      </c>
      <c r="L231" s="89" t="s">
        <v>19</v>
      </c>
      <c r="M231" s="85" t="s">
        <v>52</v>
      </c>
      <c r="N231" s="85" t="s">
        <v>15</v>
      </c>
      <c r="O231" s="90">
        <v>0</v>
      </c>
      <c r="P231" s="91"/>
    </row>
    <row r="232" spans="1:16">
      <c r="A232" s="41" t="s">
        <v>545</v>
      </c>
      <c r="B232" s="85" t="s">
        <v>16</v>
      </c>
      <c r="C232" s="85" t="s">
        <v>356</v>
      </c>
      <c r="D232" s="85" t="s">
        <v>60</v>
      </c>
      <c r="E232" s="85" t="s">
        <v>14</v>
      </c>
      <c r="F232" s="85" t="s">
        <v>108</v>
      </c>
      <c r="G232" s="85" t="s">
        <v>548</v>
      </c>
      <c r="H232" s="85" t="s">
        <v>45</v>
      </c>
      <c r="I232" s="85" t="s">
        <v>547</v>
      </c>
      <c r="J232" s="87">
        <v>712</v>
      </c>
      <c r="K232" s="88">
        <v>42369</v>
      </c>
      <c r="L232" s="89"/>
      <c r="M232" s="85" t="s">
        <v>21</v>
      </c>
      <c r="N232" s="85" t="s">
        <v>15</v>
      </c>
      <c r="O232" s="90">
        <v>1E-3</v>
      </c>
      <c r="P232" s="91">
        <v>0.05</v>
      </c>
    </row>
    <row r="233" spans="1:16">
      <c r="A233" s="41" t="s">
        <v>545</v>
      </c>
      <c r="B233" s="85" t="s">
        <v>16</v>
      </c>
      <c r="C233" s="85" t="s">
        <v>356</v>
      </c>
      <c r="D233" s="85" t="s">
        <v>60</v>
      </c>
      <c r="E233" s="85" t="s">
        <v>14</v>
      </c>
      <c r="F233" s="85" t="s">
        <v>113</v>
      </c>
      <c r="G233" s="85" t="s">
        <v>549</v>
      </c>
      <c r="H233" s="85" t="s">
        <v>45</v>
      </c>
      <c r="I233" s="85" t="s">
        <v>547</v>
      </c>
      <c r="J233" s="87">
        <v>1430</v>
      </c>
      <c r="K233" s="88">
        <v>43087</v>
      </c>
      <c r="L233" s="89"/>
      <c r="M233" s="85" t="s">
        <v>22</v>
      </c>
      <c r="N233" s="85" t="s">
        <v>15</v>
      </c>
      <c r="O233" s="90">
        <v>1E-3</v>
      </c>
      <c r="P233" s="91">
        <v>0.05</v>
      </c>
    </row>
    <row r="234" spans="1:16">
      <c r="A234" s="41" t="s">
        <v>545</v>
      </c>
      <c r="B234" s="85" t="s">
        <v>16</v>
      </c>
      <c r="C234" s="85" t="s">
        <v>372</v>
      </c>
      <c r="D234" s="85" t="s">
        <v>110</v>
      </c>
      <c r="E234" s="85" t="s">
        <v>14</v>
      </c>
      <c r="F234" s="85" t="s">
        <v>47</v>
      </c>
      <c r="G234" s="85" t="s">
        <v>550</v>
      </c>
      <c r="H234" s="85" t="s">
        <v>45</v>
      </c>
      <c r="I234" s="85" t="s">
        <v>547</v>
      </c>
      <c r="J234" s="87">
        <v>1614</v>
      </c>
      <c r="K234" s="88">
        <v>43271</v>
      </c>
      <c r="L234" s="89"/>
      <c r="M234" s="85" t="s">
        <v>52</v>
      </c>
      <c r="N234" s="85" t="s">
        <v>15</v>
      </c>
      <c r="O234" s="90">
        <v>1E-3</v>
      </c>
      <c r="P234" s="91">
        <v>0.05</v>
      </c>
    </row>
    <row r="235" spans="1:16" ht="26.25">
      <c r="A235" s="41" t="s">
        <v>198</v>
      </c>
      <c r="B235" s="85" t="s">
        <v>12</v>
      </c>
      <c r="C235" s="85" t="s">
        <v>0</v>
      </c>
      <c r="D235" s="85" t="s">
        <v>66</v>
      </c>
      <c r="E235" s="85" t="s">
        <v>14</v>
      </c>
      <c r="F235" s="85" t="s">
        <v>199</v>
      </c>
      <c r="G235" s="85" t="s">
        <v>200</v>
      </c>
      <c r="H235" s="85" t="s">
        <v>132</v>
      </c>
      <c r="I235" s="85" t="s">
        <v>201</v>
      </c>
      <c r="J235" s="87">
        <v>1426</v>
      </c>
      <c r="K235" s="88">
        <v>43083</v>
      </c>
      <c r="L235" s="89" t="s">
        <v>19</v>
      </c>
      <c r="M235" s="85" t="s">
        <v>21</v>
      </c>
      <c r="N235" s="85" t="s">
        <v>15</v>
      </c>
      <c r="O235" s="90">
        <v>1E-3</v>
      </c>
      <c r="P235" s="91"/>
    </row>
    <row r="236" spans="1:16" ht="26.25">
      <c r="A236" s="41" t="s">
        <v>198</v>
      </c>
      <c r="B236" s="85" t="s">
        <v>12</v>
      </c>
      <c r="C236" s="85" t="s">
        <v>0</v>
      </c>
      <c r="D236" s="85" t="s">
        <v>66</v>
      </c>
      <c r="E236" s="85" t="s">
        <v>14</v>
      </c>
      <c r="F236" s="85" t="s">
        <v>199</v>
      </c>
      <c r="G236" s="85" t="s">
        <v>685</v>
      </c>
      <c r="H236" s="85" t="s">
        <v>132</v>
      </c>
      <c r="I236" s="85" t="s">
        <v>201</v>
      </c>
      <c r="J236" s="87">
        <v>1426</v>
      </c>
      <c r="K236" s="88">
        <v>43083</v>
      </c>
      <c r="L236" s="89" t="s">
        <v>19</v>
      </c>
      <c r="M236" s="85" t="s">
        <v>20</v>
      </c>
      <c r="N236" s="85" t="s">
        <v>15</v>
      </c>
      <c r="O236" s="90">
        <v>1E-3</v>
      </c>
      <c r="P236" s="91"/>
    </row>
    <row r="237" spans="1:16">
      <c r="A237" s="41" t="s">
        <v>421</v>
      </c>
      <c r="B237" s="85" t="s">
        <v>16</v>
      </c>
      <c r="C237" s="85" t="s">
        <v>137</v>
      </c>
      <c r="D237" s="85">
        <v>6</v>
      </c>
      <c r="E237" s="85" t="s">
        <v>14</v>
      </c>
      <c r="F237" s="85" t="s">
        <v>165</v>
      </c>
      <c r="G237" s="85" t="s">
        <v>422</v>
      </c>
      <c r="H237" s="85" t="s">
        <v>45</v>
      </c>
      <c r="I237" s="85" t="s">
        <v>423</v>
      </c>
      <c r="J237" s="87">
        <v>682</v>
      </c>
      <c r="K237" s="88">
        <v>42339</v>
      </c>
      <c r="L237" s="89"/>
      <c r="M237" s="85" t="s">
        <v>22</v>
      </c>
      <c r="N237" s="85" t="s">
        <v>15</v>
      </c>
      <c r="O237" s="90">
        <v>1E-3</v>
      </c>
      <c r="P237" s="91">
        <v>0.05</v>
      </c>
    </row>
    <row r="238" spans="1:16" ht="26.25">
      <c r="A238" s="41" t="s">
        <v>335</v>
      </c>
      <c r="B238" s="85" t="s">
        <v>12</v>
      </c>
      <c r="C238" s="85" t="s">
        <v>0</v>
      </c>
      <c r="D238" s="85" t="s">
        <v>42</v>
      </c>
      <c r="E238" s="85" t="s">
        <v>14</v>
      </c>
      <c r="F238" s="85" t="s">
        <v>47</v>
      </c>
      <c r="G238" s="85" t="s">
        <v>336</v>
      </c>
      <c r="H238" s="85" t="s">
        <v>45</v>
      </c>
      <c r="I238" s="85" t="s">
        <v>337</v>
      </c>
      <c r="J238" s="87">
        <v>1430</v>
      </c>
      <c r="K238" s="88">
        <v>43087</v>
      </c>
      <c r="L238" s="89" t="s">
        <v>19</v>
      </c>
      <c r="M238" s="85" t="s">
        <v>52</v>
      </c>
      <c r="N238" s="85" t="s">
        <v>15</v>
      </c>
      <c r="O238" s="90">
        <v>0</v>
      </c>
      <c r="P238" s="91"/>
    </row>
    <row r="239" spans="1:16" ht="26.25">
      <c r="A239" s="41" t="s">
        <v>269</v>
      </c>
      <c r="B239" s="85" t="s">
        <v>12</v>
      </c>
      <c r="C239" s="85" t="s">
        <v>0</v>
      </c>
      <c r="D239" s="85" t="s">
        <v>42</v>
      </c>
      <c r="E239" s="85" t="s">
        <v>14</v>
      </c>
      <c r="F239" s="85" t="s">
        <v>270</v>
      </c>
      <c r="G239" s="85" t="s">
        <v>271</v>
      </c>
      <c r="H239" s="85" t="s">
        <v>45</v>
      </c>
      <c r="I239" s="85" t="s">
        <v>272</v>
      </c>
      <c r="J239" s="87">
        <v>1117</v>
      </c>
      <c r="K239" s="88">
        <v>42774</v>
      </c>
      <c r="L239" s="89" t="s">
        <v>19</v>
      </c>
      <c r="M239" s="85" t="s">
        <v>52</v>
      </c>
      <c r="N239" s="85" t="s">
        <v>15</v>
      </c>
      <c r="O239" s="90">
        <v>0</v>
      </c>
      <c r="P239" s="91"/>
    </row>
    <row r="240" spans="1:16" ht="26.25">
      <c r="A240" s="41" t="s">
        <v>269</v>
      </c>
      <c r="B240" s="85" t="s">
        <v>12</v>
      </c>
      <c r="C240" s="85" t="s">
        <v>0</v>
      </c>
      <c r="D240" s="85" t="s">
        <v>42</v>
      </c>
      <c r="E240" s="85" t="s">
        <v>14</v>
      </c>
      <c r="F240" s="85" t="s">
        <v>234</v>
      </c>
      <c r="G240" s="85" t="s">
        <v>273</v>
      </c>
      <c r="H240" s="85" t="s">
        <v>45</v>
      </c>
      <c r="I240" s="85" t="s">
        <v>272</v>
      </c>
      <c r="J240" s="87">
        <v>1478</v>
      </c>
      <c r="K240" s="88">
        <v>43135</v>
      </c>
      <c r="L240" s="89" t="s">
        <v>19</v>
      </c>
      <c r="M240" s="85" t="s">
        <v>21</v>
      </c>
      <c r="N240" s="85" t="s">
        <v>15</v>
      </c>
      <c r="O240" s="90">
        <v>0</v>
      </c>
      <c r="P240" s="91"/>
    </row>
    <row r="241" spans="1:16" ht="26.25">
      <c r="A241" s="41" t="s">
        <v>286</v>
      </c>
      <c r="B241" s="85" t="s">
        <v>12</v>
      </c>
      <c r="C241" s="85" t="s">
        <v>0</v>
      </c>
      <c r="D241" s="85" t="s">
        <v>54</v>
      </c>
      <c r="E241" s="85" t="s">
        <v>14</v>
      </c>
      <c r="F241" s="85" t="s">
        <v>149</v>
      </c>
      <c r="G241" s="85" t="s">
        <v>287</v>
      </c>
      <c r="H241" s="85" t="s">
        <v>45</v>
      </c>
      <c r="I241" s="85" t="s">
        <v>288</v>
      </c>
      <c r="J241" s="87">
        <v>1103</v>
      </c>
      <c r="K241" s="88">
        <v>42760</v>
      </c>
      <c r="L241" s="89" t="s">
        <v>19</v>
      </c>
      <c r="M241" s="85" t="s">
        <v>22</v>
      </c>
      <c r="N241" s="85" t="s">
        <v>15</v>
      </c>
      <c r="O241" s="90">
        <v>0</v>
      </c>
      <c r="P241" s="91"/>
    </row>
    <row r="242" spans="1:16" ht="26.25">
      <c r="A242" s="41" t="s">
        <v>335</v>
      </c>
      <c r="B242" s="85" t="s">
        <v>12</v>
      </c>
      <c r="C242" s="85" t="s">
        <v>0</v>
      </c>
      <c r="D242" s="85" t="s">
        <v>42</v>
      </c>
      <c r="E242" s="85" t="s">
        <v>14</v>
      </c>
      <c r="F242" s="85" t="s">
        <v>338</v>
      </c>
      <c r="G242" s="85" t="s">
        <v>339</v>
      </c>
      <c r="H242" s="85" t="s">
        <v>45</v>
      </c>
      <c r="I242" s="85" t="s">
        <v>337</v>
      </c>
      <c r="J242" s="87">
        <v>699</v>
      </c>
      <c r="K242" s="88">
        <v>42356</v>
      </c>
      <c r="L242" s="89" t="s">
        <v>19</v>
      </c>
      <c r="M242" s="85" t="s">
        <v>20</v>
      </c>
      <c r="N242" s="85" t="s">
        <v>15</v>
      </c>
      <c r="O242" s="90">
        <v>0</v>
      </c>
      <c r="P242" s="91"/>
    </row>
    <row r="243" spans="1:16" ht="26.25">
      <c r="A243" s="41" t="s">
        <v>286</v>
      </c>
      <c r="B243" s="85" t="s">
        <v>12</v>
      </c>
      <c r="C243" s="85" t="s">
        <v>0</v>
      </c>
      <c r="D243" s="85" t="s">
        <v>54</v>
      </c>
      <c r="E243" s="85" t="s">
        <v>14</v>
      </c>
      <c r="F243" s="85" t="s">
        <v>289</v>
      </c>
      <c r="G243" s="85" t="s">
        <v>290</v>
      </c>
      <c r="H243" s="85" t="s">
        <v>45</v>
      </c>
      <c r="I243" s="85" t="s">
        <v>288</v>
      </c>
      <c r="J243" s="87">
        <v>1468</v>
      </c>
      <c r="K243" s="88">
        <v>43125</v>
      </c>
      <c r="L243" s="89" t="s">
        <v>19</v>
      </c>
      <c r="M243" s="85" t="s">
        <v>52</v>
      </c>
      <c r="N243" s="85" t="s">
        <v>15</v>
      </c>
      <c r="O243" s="90">
        <v>0</v>
      </c>
      <c r="P243" s="91"/>
    </row>
    <row r="244" spans="1:16" ht="26.25">
      <c r="A244" s="41" t="s">
        <v>118</v>
      </c>
      <c r="B244" s="85" t="s">
        <v>12</v>
      </c>
      <c r="C244" s="85" t="s">
        <v>137</v>
      </c>
      <c r="D244" s="85" t="s">
        <v>66</v>
      </c>
      <c r="E244" s="85" t="s">
        <v>14</v>
      </c>
      <c r="F244" s="85" t="s">
        <v>119</v>
      </c>
      <c r="G244" s="85" t="s">
        <v>120</v>
      </c>
      <c r="H244" s="85" t="s">
        <v>45</v>
      </c>
      <c r="I244" s="85" t="s">
        <v>121</v>
      </c>
      <c r="J244" s="87">
        <v>885</v>
      </c>
      <c r="K244" s="88">
        <v>42542</v>
      </c>
      <c r="L244" s="89" t="s">
        <v>19</v>
      </c>
      <c r="M244" s="85" t="s">
        <v>22</v>
      </c>
      <c r="N244" s="85" t="s">
        <v>15</v>
      </c>
      <c r="O244" s="90">
        <v>1E-3</v>
      </c>
      <c r="P244" s="91"/>
    </row>
    <row r="245" spans="1:16" ht="26.25">
      <c r="A245" s="41" t="s">
        <v>118</v>
      </c>
      <c r="B245" s="85" t="s">
        <v>12</v>
      </c>
      <c r="C245" s="85" t="s">
        <v>137</v>
      </c>
      <c r="D245" s="85" t="s">
        <v>66</v>
      </c>
      <c r="E245" s="85" t="s">
        <v>14</v>
      </c>
      <c r="F245" s="85" t="s">
        <v>122</v>
      </c>
      <c r="G245" s="85" t="s">
        <v>123</v>
      </c>
      <c r="H245" s="85" t="s">
        <v>45</v>
      </c>
      <c r="I245" s="85" t="s">
        <v>121</v>
      </c>
      <c r="J245" s="87">
        <v>1614</v>
      </c>
      <c r="K245" s="88">
        <v>43271</v>
      </c>
      <c r="L245" s="89" t="s">
        <v>19</v>
      </c>
      <c r="M245" s="85" t="s">
        <v>52</v>
      </c>
      <c r="N245" s="85" t="s">
        <v>15</v>
      </c>
      <c r="O245" s="90">
        <v>1E-3</v>
      </c>
      <c r="P245" s="91"/>
    </row>
    <row r="246" spans="1:16" ht="26.25">
      <c r="A246" s="41" t="s">
        <v>118</v>
      </c>
      <c r="B246" s="85" t="s">
        <v>12</v>
      </c>
      <c r="C246" s="85" t="s">
        <v>356</v>
      </c>
      <c r="D246" s="85" t="s">
        <v>110</v>
      </c>
      <c r="E246" s="85" t="s">
        <v>14</v>
      </c>
      <c r="F246" s="85" t="s">
        <v>124</v>
      </c>
      <c r="G246" s="85" t="s">
        <v>125</v>
      </c>
      <c r="H246" s="85" t="s">
        <v>45</v>
      </c>
      <c r="I246" s="85" t="s">
        <v>121</v>
      </c>
      <c r="J246" s="87">
        <v>1979</v>
      </c>
      <c r="K246" s="88">
        <v>43636</v>
      </c>
      <c r="L246" s="89" t="s">
        <v>19</v>
      </c>
      <c r="M246" s="85" t="s">
        <v>21</v>
      </c>
      <c r="N246" s="85" t="s">
        <v>15</v>
      </c>
      <c r="O246" s="90">
        <v>1E-3</v>
      </c>
      <c r="P246" s="91"/>
    </row>
    <row r="247" spans="1:16">
      <c r="A247" s="41" t="s">
        <v>628</v>
      </c>
      <c r="B247" s="85" t="s">
        <v>16</v>
      </c>
      <c r="C247" s="85" t="s">
        <v>0</v>
      </c>
      <c r="D247" s="85" t="s">
        <v>60</v>
      </c>
      <c r="E247" s="85" t="s">
        <v>14</v>
      </c>
      <c r="F247" s="85" t="s">
        <v>410</v>
      </c>
      <c r="G247" s="85" t="s">
        <v>629</v>
      </c>
      <c r="H247" s="85" t="s">
        <v>45</v>
      </c>
      <c r="I247" s="85" t="s">
        <v>630</v>
      </c>
      <c r="J247" s="87">
        <v>1113</v>
      </c>
      <c r="K247" s="88">
        <v>42770</v>
      </c>
      <c r="L247" s="89"/>
      <c r="M247" s="85" t="s">
        <v>52</v>
      </c>
      <c r="N247" s="85" t="s">
        <v>15</v>
      </c>
      <c r="O247" s="90">
        <v>0</v>
      </c>
      <c r="P247" s="91">
        <v>0.03</v>
      </c>
    </row>
    <row r="248" spans="1:16">
      <c r="A248" s="41" t="s">
        <v>628</v>
      </c>
      <c r="B248" s="85" t="s">
        <v>16</v>
      </c>
      <c r="C248" s="85" t="s">
        <v>0</v>
      </c>
      <c r="D248" s="85" t="s">
        <v>60</v>
      </c>
      <c r="E248" s="85" t="s">
        <v>14</v>
      </c>
      <c r="F248" s="85" t="s">
        <v>379</v>
      </c>
      <c r="G248" s="85" t="s">
        <v>631</v>
      </c>
      <c r="H248" s="85" t="s">
        <v>45</v>
      </c>
      <c r="I248" s="85" t="s">
        <v>630</v>
      </c>
      <c r="J248" s="87">
        <v>1479</v>
      </c>
      <c r="K248" s="88">
        <v>43136</v>
      </c>
      <c r="L248" s="89"/>
      <c r="M248" s="85" t="s">
        <v>21</v>
      </c>
      <c r="N248" s="85" t="s">
        <v>15</v>
      </c>
      <c r="O248" s="90">
        <v>0</v>
      </c>
      <c r="P248" s="91">
        <v>0.03</v>
      </c>
    </row>
    <row r="249" spans="1:16">
      <c r="A249" s="41" t="s">
        <v>628</v>
      </c>
      <c r="B249" s="85" t="s">
        <v>16</v>
      </c>
      <c r="C249" s="85" t="s">
        <v>0</v>
      </c>
      <c r="D249" s="85" t="s">
        <v>60</v>
      </c>
      <c r="E249" s="85" t="s">
        <v>14</v>
      </c>
      <c r="F249" s="85" t="s">
        <v>47</v>
      </c>
      <c r="G249" s="85" t="s">
        <v>632</v>
      </c>
      <c r="H249" s="85" t="s">
        <v>45</v>
      </c>
      <c r="I249" s="85" t="s">
        <v>630</v>
      </c>
      <c r="J249" s="87">
        <v>1478</v>
      </c>
      <c r="K249" s="88">
        <v>43135</v>
      </c>
      <c r="L249" s="89"/>
      <c r="M249" s="85" t="s">
        <v>22</v>
      </c>
      <c r="N249" s="85" t="s">
        <v>15</v>
      </c>
      <c r="O249" s="90">
        <v>0</v>
      </c>
      <c r="P249" s="91">
        <v>0.03</v>
      </c>
    </row>
    <row r="250" spans="1:16">
      <c r="A250" s="41" t="s">
        <v>554</v>
      </c>
      <c r="B250" s="85" t="s">
        <v>16</v>
      </c>
      <c r="C250" s="85" t="s">
        <v>0</v>
      </c>
      <c r="D250" s="85" t="s">
        <v>42</v>
      </c>
      <c r="E250" s="85" t="s">
        <v>14</v>
      </c>
      <c r="F250" s="85" t="s">
        <v>108</v>
      </c>
      <c r="G250" s="85" t="s">
        <v>555</v>
      </c>
      <c r="H250" s="85" t="s">
        <v>45</v>
      </c>
      <c r="I250" s="85" t="s">
        <v>556</v>
      </c>
      <c r="J250" s="87">
        <v>931</v>
      </c>
      <c r="K250" s="88">
        <v>42588</v>
      </c>
      <c r="L250" s="89"/>
      <c r="M250" s="85" t="s">
        <v>21</v>
      </c>
      <c r="N250" s="85" t="s">
        <v>15</v>
      </c>
      <c r="O250" s="90">
        <v>1E-3</v>
      </c>
      <c r="P250" s="91">
        <v>0.05</v>
      </c>
    </row>
    <row r="251" spans="1:16">
      <c r="A251" s="41" t="s">
        <v>554</v>
      </c>
      <c r="B251" s="85" t="s">
        <v>16</v>
      </c>
      <c r="C251" s="85" t="s">
        <v>0</v>
      </c>
      <c r="D251" s="85" t="s">
        <v>42</v>
      </c>
      <c r="E251" s="85" t="s">
        <v>14</v>
      </c>
      <c r="F251" s="85" t="s">
        <v>358</v>
      </c>
      <c r="G251" s="85" t="s">
        <v>557</v>
      </c>
      <c r="H251" s="85" t="s">
        <v>45</v>
      </c>
      <c r="I251" s="85" t="s">
        <v>556</v>
      </c>
      <c r="J251" s="87">
        <v>1296</v>
      </c>
      <c r="K251" s="88">
        <v>42953</v>
      </c>
      <c r="L251" s="89"/>
      <c r="M251" s="85" t="s">
        <v>22</v>
      </c>
      <c r="N251" s="85" t="s">
        <v>15</v>
      </c>
      <c r="O251" s="90">
        <v>1E-3</v>
      </c>
      <c r="P251" s="91">
        <v>0.05</v>
      </c>
    </row>
    <row r="252" spans="1:16" ht="26.25">
      <c r="A252" s="41" t="s">
        <v>298</v>
      </c>
      <c r="B252" s="85" t="s">
        <v>12</v>
      </c>
      <c r="C252" s="85" t="s">
        <v>0</v>
      </c>
      <c r="D252" s="85" t="s">
        <v>42</v>
      </c>
      <c r="E252" s="85" t="s">
        <v>14</v>
      </c>
      <c r="F252" s="85" t="s">
        <v>299</v>
      </c>
      <c r="G252" s="85" t="s">
        <v>300</v>
      </c>
      <c r="H252" s="85" t="s">
        <v>45</v>
      </c>
      <c r="I252" s="85" t="s">
        <v>301</v>
      </c>
      <c r="J252" s="87">
        <v>1666</v>
      </c>
      <c r="K252" s="88">
        <v>43323</v>
      </c>
      <c r="L252" s="89" t="s">
        <v>19</v>
      </c>
      <c r="M252" s="85" t="s">
        <v>21</v>
      </c>
      <c r="N252" s="85" t="s">
        <v>15</v>
      </c>
      <c r="O252" s="90">
        <v>0</v>
      </c>
      <c r="P252" s="91"/>
    </row>
    <row r="253" spans="1:16" ht="26.25">
      <c r="A253" s="41" t="s">
        <v>298</v>
      </c>
      <c r="B253" s="85" t="s">
        <v>12</v>
      </c>
      <c r="C253" s="85" t="s">
        <v>0</v>
      </c>
      <c r="D253" s="85" t="s">
        <v>42</v>
      </c>
      <c r="E253" s="85" t="s">
        <v>14</v>
      </c>
      <c r="F253" s="85" t="s">
        <v>302</v>
      </c>
      <c r="G253" s="85" t="s">
        <v>303</v>
      </c>
      <c r="H253" s="85" t="s">
        <v>45</v>
      </c>
      <c r="I253" s="85" t="s">
        <v>301</v>
      </c>
      <c r="J253" s="87">
        <v>1117</v>
      </c>
      <c r="K253" s="88">
        <v>42774</v>
      </c>
      <c r="L253" s="89" t="s">
        <v>19</v>
      </c>
      <c r="M253" s="85" t="s">
        <v>22</v>
      </c>
      <c r="N253" s="85" t="s">
        <v>15</v>
      </c>
      <c r="O253" s="90">
        <v>0</v>
      </c>
      <c r="P253" s="91"/>
    </row>
    <row r="254" spans="1:16">
      <c r="A254" s="41" t="s">
        <v>587</v>
      </c>
      <c r="B254" s="85" t="s">
        <v>16</v>
      </c>
      <c r="C254" s="85" t="s">
        <v>186</v>
      </c>
      <c r="D254" s="85" t="s">
        <v>54</v>
      </c>
      <c r="E254" s="85" t="s">
        <v>14</v>
      </c>
      <c r="F254" s="85" t="s">
        <v>276</v>
      </c>
      <c r="G254" s="85" t="s">
        <v>588</v>
      </c>
      <c r="H254" s="85" t="s">
        <v>45</v>
      </c>
      <c r="I254" s="85" t="s">
        <v>589</v>
      </c>
      <c r="J254" s="87">
        <v>818</v>
      </c>
      <c r="K254" s="88">
        <v>42475</v>
      </c>
      <c r="L254" s="89"/>
      <c r="M254" s="85" t="s">
        <v>21</v>
      </c>
      <c r="N254" s="85" t="s">
        <v>15</v>
      </c>
      <c r="O254" s="90">
        <v>1E-3</v>
      </c>
      <c r="P254" s="91">
        <v>0.05</v>
      </c>
    </row>
    <row r="255" spans="1:16">
      <c r="A255" s="41" t="s">
        <v>587</v>
      </c>
      <c r="B255" s="85" t="s">
        <v>16</v>
      </c>
      <c r="C255" s="85" t="s">
        <v>186</v>
      </c>
      <c r="D255" s="85" t="s">
        <v>60</v>
      </c>
      <c r="E255" s="85" t="s">
        <v>14</v>
      </c>
      <c r="F255" s="85" t="s">
        <v>276</v>
      </c>
      <c r="G255" s="85" t="s">
        <v>590</v>
      </c>
      <c r="H255" s="85" t="s">
        <v>45</v>
      </c>
      <c r="I255" s="85" t="s">
        <v>589</v>
      </c>
      <c r="J255" s="87">
        <v>818</v>
      </c>
      <c r="K255" s="88">
        <v>42475</v>
      </c>
      <c r="L255" s="89"/>
      <c r="M255" s="85" t="s">
        <v>22</v>
      </c>
      <c r="N255" s="85" t="s">
        <v>15</v>
      </c>
      <c r="O255" s="90">
        <v>1E-3</v>
      </c>
      <c r="P255" s="91">
        <v>0.05</v>
      </c>
    </row>
    <row r="256" spans="1:16">
      <c r="A256" s="41" t="s">
        <v>545</v>
      </c>
      <c r="B256" s="85" t="s">
        <v>16</v>
      </c>
      <c r="C256" s="85" t="s">
        <v>356</v>
      </c>
      <c r="D256" s="85" t="s">
        <v>60</v>
      </c>
      <c r="E256" s="85" t="s">
        <v>14</v>
      </c>
      <c r="F256" s="85" t="s">
        <v>375</v>
      </c>
      <c r="G256" s="85" t="s">
        <v>546</v>
      </c>
      <c r="H256" s="85" t="s">
        <v>45</v>
      </c>
      <c r="I256" s="85" t="s">
        <v>547</v>
      </c>
      <c r="J256" s="87">
        <v>1430</v>
      </c>
      <c r="K256" s="88">
        <v>43087</v>
      </c>
      <c r="L256" s="89"/>
      <c r="M256" s="85" t="s">
        <v>20</v>
      </c>
      <c r="N256" s="85" t="s">
        <v>15</v>
      </c>
      <c r="O256" s="90">
        <v>1E-3</v>
      </c>
      <c r="P256" s="91">
        <v>0.05</v>
      </c>
    </row>
    <row r="257" spans="1:16" ht="26.25">
      <c r="A257" s="41" t="s">
        <v>146</v>
      </c>
      <c r="B257" s="85" t="s">
        <v>12</v>
      </c>
      <c r="C257" s="85" t="s">
        <v>137</v>
      </c>
      <c r="D257" s="85" t="s">
        <v>66</v>
      </c>
      <c r="E257" s="85" t="s">
        <v>14</v>
      </c>
      <c r="F257" s="85" t="s">
        <v>108</v>
      </c>
      <c r="G257" s="85" t="s">
        <v>147</v>
      </c>
      <c r="H257" s="85" t="s">
        <v>45</v>
      </c>
      <c r="I257" s="85" t="s">
        <v>148</v>
      </c>
      <c r="J257" s="87">
        <v>1249</v>
      </c>
      <c r="K257" s="88">
        <v>42906</v>
      </c>
      <c r="L257" s="89" t="s">
        <v>19</v>
      </c>
      <c r="M257" s="85" t="s">
        <v>52</v>
      </c>
      <c r="N257" s="85" t="s">
        <v>15</v>
      </c>
      <c r="O257" s="90">
        <v>1E-3</v>
      </c>
      <c r="P257" s="91"/>
    </row>
    <row r="258" spans="1:16" ht="26.25">
      <c r="A258" s="41" t="s">
        <v>146</v>
      </c>
      <c r="B258" s="85" t="s">
        <v>12</v>
      </c>
      <c r="C258" s="85" t="s">
        <v>137</v>
      </c>
      <c r="D258" s="85" t="s">
        <v>66</v>
      </c>
      <c r="E258" s="85" t="s">
        <v>14</v>
      </c>
      <c r="F258" s="85" t="s">
        <v>149</v>
      </c>
      <c r="G258" s="85" t="s">
        <v>150</v>
      </c>
      <c r="H258" s="85" t="s">
        <v>45</v>
      </c>
      <c r="I258" s="85" t="s">
        <v>148</v>
      </c>
      <c r="J258" s="87">
        <v>1614</v>
      </c>
      <c r="K258" s="88">
        <v>43271</v>
      </c>
      <c r="L258" s="89" t="s">
        <v>19</v>
      </c>
      <c r="M258" s="85" t="s">
        <v>20</v>
      </c>
      <c r="N258" s="85" t="s">
        <v>15</v>
      </c>
      <c r="O258" s="90">
        <v>1E-3</v>
      </c>
      <c r="P258" s="91"/>
    </row>
    <row r="259" spans="1:16" ht="26.25">
      <c r="A259" s="41" t="s">
        <v>146</v>
      </c>
      <c r="B259" s="85" t="s">
        <v>12</v>
      </c>
      <c r="C259" s="85" t="s">
        <v>0</v>
      </c>
      <c r="D259" s="85" t="s">
        <v>42</v>
      </c>
      <c r="E259" s="85" t="s">
        <v>14</v>
      </c>
      <c r="F259" s="85" t="s">
        <v>151</v>
      </c>
      <c r="G259" s="85" t="s">
        <v>152</v>
      </c>
      <c r="H259" s="85" t="s">
        <v>45</v>
      </c>
      <c r="I259" s="85" t="s">
        <v>148</v>
      </c>
      <c r="J259" s="87">
        <v>1614</v>
      </c>
      <c r="K259" s="88">
        <v>43271</v>
      </c>
      <c r="L259" s="89" t="s">
        <v>19</v>
      </c>
      <c r="M259" s="85" t="s">
        <v>21</v>
      </c>
      <c r="N259" s="85" t="s">
        <v>15</v>
      </c>
      <c r="O259" s="90">
        <v>1E-3</v>
      </c>
      <c r="P259" s="91"/>
    </row>
    <row r="260" spans="1:16">
      <c r="A260" s="41" t="s">
        <v>619</v>
      </c>
      <c r="B260" s="85" t="s">
        <v>16</v>
      </c>
      <c r="C260" s="85" t="s">
        <v>186</v>
      </c>
      <c r="D260" s="85">
        <v>3</v>
      </c>
      <c r="E260" s="85" t="s">
        <v>61</v>
      </c>
      <c r="F260" s="85" t="s">
        <v>207</v>
      </c>
      <c r="G260" s="85" t="s">
        <v>620</v>
      </c>
      <c r="H260" s="85" t="s">
        <v>374</v>
      </c>
      <c r="I260" s="85" t="s">
        <v>621</v>
      </c>
      <c r="J260" s="87">
        <v>1</v>
      </c>
      <c r="K260" s="88">
        <v>41658</v>
      </c>
      <c r="L260" s="89"/>
      <c r="M260" s="85" t="s">
        <v>22</v>
      </c>
      <c r="N260" s="85" t="s">
        <v>660</v>
      </c>
      <c r="O260" s="90">
        <v>0</v>
      </c>
      <c r="P260" s="91">
        <v>0.05</v>
      </c>
    </row>
    <row r="261" spans="1:16" ht="26.25">
      <c r="A261" s="41" t="s">
        <v>161</v>
      </c>
      <c r="B261" s="85" t="s">
        <v>12</v>
      </c>
      <c r="C261" s="85" t="s">
        <v>137</v>
      </c>
      <c r="D261" s="85" t="s">
        <v>66</v>
      </c>
      <c r="E261" s="85" t="s">
        <v>14</v>
      </c>
      <c r="F261" s="85" t="s">
        <v>49</v>
      </c>
      <c r="G261" s="85" t="s">
        <v>162</v>
      </c>
      <c r="H261" s="85" t="s">
        <v>45</v>
      </c>
      <c r="I261" s="85" t="s">
        <v>163</v>
      </c>
      <c r="J261" s="87">
        <v>518</v>
      </c>
      <c r="K261" s="88">
        <v>42175</v>
      </c>
      <c r="L261" s="89" t="s">
        <v>19</v>
      </c>
      <c r="M261" s="85" t="s">
        <v>52</v>
      </c>
      <c r="N261" s="85" t="s">
        <v>15</v>
      </c>
      <c r="O261" s="90">
        <v>1E-3</v>
      </c>
      <c r="P261" s="91"/>
    </row>
    <row r="262" spans="1:16">
      <c r="A262" s="41" t="s">
        <v>656</v>
      </c>
      <c r="B262" s="85" t="s">
        <v>16</v>
      </c>
      <c r="C262" s="85" t="s">
        <v>364</v>
      </c>
      <c r="D262" s="85">
        <v>1</v>
      </c>
      <c r="E262" s="85" t="s">
        <v>370</v>
      </c>
      <c r="F262" s="85" t="s">
        <v>49</v>
      </c>
      <c r="G262" s="85" t="s">
        <v>657</v>
      </c>
      <c r="H262" s="85" t="s">
        <v>132</v>
      </c>
      <c r="I262" s="85" t="s">
        <v>658</v>
      </c>
      <c r="J262" s="87">
        <v>181</v>
      </c>
      <c r="K262" s="88">
        <v>41838</v>
      </c>
      <c r="L262" s="89"/>
      <c r="M262" s="85" t="s">
        <v>21</v>
      </c>
      <c r="N262" s="85" t="s">
        <v>2</v>
      </c>
      <c r="O262" s="90">
        <v>0</v>
      </c>
      <c r="P262" s="91">
        <v>0.02</v>
      </c>
    </row>
    <row r="263" spans="1:16">
      <c r="A263" s="41" t="s">
        <v>527</v>
      </c>
      <c r="B263" s="85" t="s">
        <v>16</v>
      </c>
      <c r="C263" s="85" t="s">
        <v>186</v>
      </c>
      <c r="D263" s="85" t="s">
        <v>66</v>
      </c>
      <c r="E263" s="85" t="s">
        <v>14</v>
      </c>
      <c r="F263" s="85" t="s">
        <v>360</v>
      </c>
      <c r="G263" s="85" t="s">
        <v>528</v>
      </c>
      <c r="H263" s="85" t="s">
        <v>45</v>
      </c>
      <c r="I263" s="85" t="s">
        <v>529</v>
      </c>
      <c r="J263" s="87">
        <v>1023</v>
      </c>
      <c r="K263" s="88">
        <v>42680</v>
      </c>
      <c r="L263" s="89"/>
      <c r="M263" s="85" t="s">
        <v>21</v>
      </c>
      <c r="N263" s="85" t="s">
        <v>15</v>
      </c>
      <c r="O263" s="90">
        <v>1E-3</v>
      </c>
      <c r="P263" s="91">
        <v>0.05</v>
      </c>
    </row>
    <row r="264" spans="1:16">
      <c r="A264" s="41" t="s">
        <v>527</v>
      </c>
      <c r="B264" s="85" t="s">
        <v>16</v>
      </c>
      <c r="C264" s="85" t="s">
        <v>186</v>
      </c>
      <c r="D264" s="85" t="s">
        <v>66</v>
      </c>
      <c r="E264" s="85" t="s">
        <v>14</v>
      </c>
      <c r="F264" s="85" t="s">
        <v>244</v>
      </c>
      <c r="G264" s="85" t="s">
        <v>530</v>
      </c>
      <c r="H264" s="85" t="s">
        <v>45</v>
      </c>
      <c r="I264" s="85" t="s">
        <v>529</v>
      </c>
      <c r="J264" s="87">
        <v>1023</v>
      </c>
      <c r="K264" s="88">
        <v>42680</v>
      </c>
      <c r="L264" s="89"/>
      <c r="M264" s="85" t="s">
        <v>22</v>
      </c>
      <c r="N264" s="85" t="s">
        <v>15</v>
      </c>
      <c r="O264" s="90">
        <v>1E-3</v>
      </c>
      <c r="P264" s="91">
        <v>0.05</v>
      </c>
    </row>
    <row r="265" spans="1:16">
      <c r="A265" s="41" t="s">
        <v>473</v>
      </c>
      <c r="B265" s="85" t="s">
        <v>16</v>
      </c>
      <c r="C265" s="85" t="s">
        <v>364</v>
      </c>
      <c r="D265" s="85" t="s">
        <v>42</v>
      </c>
      <c r="E265" s="85" t="s">
        <v>61</v>
      </c>
      <c r="F265" s="85" t="s">
        <v>357</v>
      </c>
      <c r="G265" s="85" t="s">
        <v>474</v>
      </c>
      <c r="H265" s="85" t="s">
        <v>475</v>
      </c>
      <c r="I265" s="85" t="s">
        <v>476</v>
      </c>
      <c r="J265" s="87">
        <v>944</v>
      </c>
      <c r="K265" s="88">
        <v>42601</v>
      </c>
      <c r="L265" s="89"/>
      <c r="M265" s="85" t="s">
        <v>52</v>
      </c>
      <c r="N265" s="85" t="s">
        <v>660</v>
      </c>
      <c r="O265" s="90">
        <v>1E-3</v>
      </c>
      <c r="P265" s="91">
        <v>0.05</v>
      </c>
    </row>
    <row r="266" spans="1:16">
      <c r="A266" s="41" t="s">
        <v>473</v>
      </c>
      <c r="B266" s="85" t="s">
        <v>16</v>
      </c>
      <c r="C266" s="85" t="s">
        <v>137</v>
      </c>
      <c r="D266" s="85" t="s">
        <v>42</v>
      </c>
      <c r="E266" s="85" t="s">
        <v>61</v>
      </c>
      <c r="F266" s="85" t="s">
        <v>357</v>
      </c>
      <c r="G266" s="85" t="s">
        <v>686</v>
      </c>
      <c r="H266" s="85" t="s">
        <v>475</v>
      </c>
      <c r="I266" s="85" t="s">
        <v>476</v>
      </c>
      <c r="J266" s="87">
        <v>944</v>
      </c>
      <c r="K266" s="88">
        <v>42601</v>
      </c>
      <c r="L266" s="89"/>
      <c r="M266" s="85" t="s">
        <v>20</v>
      </c>
      <c r="N266" s="85" t="s">
        <v>660</v>
      </c>
      <c r="O266" s="90">
        <v>1E-3</v>
      </c>
      <c r="P266" s="91">
        <v>0.05</v>
      </c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21D5F-5B2C-D542-8E28-5B542BD0259F}">
  <sheetPr codeName="Sheet14"/>
  <dimension ref="A1:G20"/>
  <sheetViews>
    <sheetView workbookViewId="0">
      <selection activeCell="C30" sqref="C30"/>
    </sheetView>
  </sheetViews>
  <sheetFormatPr defaultColWidth="10.85546875" defaultRowHeight="15.75"/>
  <cols>
    <col min="1" max="1" width="17.85546875" style="77" bestFit="1" customWidth="1"/>
    <col min="2" max="2" width="12.140625" style="77" bestFit="1" customWidth="1"/>
    <col min="3" max="3" width="18.28515625" style="77" bestFit="1" customWidth="1"/>
    <col min="4" max="4" width="14.85546875" style="77" bestFit="1" customWidth="1"/>
    <col min="5" max="5" width="13.85546875" style="77" bestFit="1" customWidth="1"/>
    <col min="6" max="6" width="16.7109375" style="77" bestFit="1" customWidth="1"/>
    <col min="7" max="16384" width="10.85546875" style="77"/>
  </cols>
  <sheetData>
    <row r="1" spans="1:7">
      <c r="A1" s="76" t="s">
        <v>702</v>
      </c>
      <c r="B1" s="76" t="s">
        <v>703</v>
      </c>
      <c r="C1" s="76" t="s">
        <v>704</v>
      </c>
      <c r="D1" s="76" t="s">
        <v>705</v>
      </c>
      <c r="E1" s="76"/>
      <c r="F1" s="76"/>
      <c r="G1" s="76"/>
    </row>
    <row r="2" spans="1:7">
      <c r="A2" s="78">
        <v>1</v>
      </c>
      <c r="B2" s="78" t="s">
        <v>706</v>
      </c>
      <c r="C2" s="78">
        <v>1</v>
      </c>
      <c r="D2" s="78">
        <v>1</v>
      </c>
      <c r="E2" s="79"/>
      <c r="F2" s="105"/>
      <c r="G2" s="79"/>
    </row>
    <row r="3" spans="1:7">
      <c r="A3" s="78">
        <v>2</v>
      </c>
      <c r="B3" s="78" t="s">
        <v>707</v>
      </c>
      <c r="C3" s="78">
        <v>31</v>
      </c>
      <c r="D3" s="78">
        <v>15</v>
      </c>
      <c r="E3" s="79"/>
      <c r="F3" s="105"/>
      <c r="G3" s="79"/>
    </row>
    <row r="4" spans="1:7">
      <c r="A4" s="78">
        <v>3</v>
      </c>
      <c r="B4" s="78" t="s">
        <v>708</v>
      </c>
      <c r="C4" s="78">
        <v>92</v>
      </c>
      <c r="D4" s="78">
        <v>61</v>
      </c>
      <c r="E4" s="79"/>
      <c r="F4" s="105"/>
      <c r="G4" s="79"/>
    </row>
    <row r="5" spans="1:7">
      <c r="A5" s="78">
        <v>4</v>
      </c>
      <c r="B5" s="78" t="s">
        <v>709</v>
      </c>
      <c r="C5" s="78">
        <v>184</v>
      </c>
      <c r="D5" s="78">
        <v>138</v>
      </c>
      <c r="E5" s="79"/>
      <c r="F5" s="105"/>
      <c r="G5" s="79"/>
    </row>
    <row r="6" spans="1:7">
      <c r="A6" s="78">
        <v>5</v>
      </c>
      <c r="B6" s="78" t="s">
        <v>710</v>
      </c>
      <c r="C6" s="78">
        <v>276</v>
      </c>
      <c r="D6" s="78">
        <v>229</v>
      </c>
      <c r="E6" s="79"/>
      <c r="F6" s="105"/>
      <c r="G6" s="79"/>
    </row>
    <row r="7" spans="1:7">
      <c r="A7" s="78">
        <v>6</v>
      </c>
      <c r="B7" s="78" t="s">
        <v>711</v>
      </c>
      <c r="C7" s="78">
        <v>365</v>
      </c>
      <c r="D7" s="78">
        <v>319</v>
      </c>
      <c r="E7" s="79"/>
      <c r="F7" s="105"/>
      <c r="G7" s="79"/>
    </row>
    <row r="8" spans="1:7">
      <c r="A8" s="78">
        <v>7</v>
      </c>
      <c r="B8" s="78" t="s">
        <v>712</v>
      </c>
      <c r="C8" s="78">
        <v>549</v>
      </c>
      <c r="D8" s="78">
        <v>457</v>
      </c>
      <c r="E8" s="79"/>
      <c r="F8" s="105"/>
      <c r="G8" s="79"/>
    </row>
    <row r="9" spans="1:7">
      <c r="A9" s="78">
        <v>8</v>
      </c>
      <c r="B9" s="78" t="s">
        <v>713</v>
      </c>
      <c r="C9" s="78">
        <v>730</v>
      </c>
      <c r="D9" s="78">
        <v>641</v>
      </c>
      <c r="E9" s="79"/>
      <c r="F9" s="105"/>
      <c r="G9" s="79"/>
    </row>
    <row r="10" spans="1:7">
      <c r="A10" s="78">
        <v>9</v>
      </c>
      <c r="B10" s="78" t="s">
        <v>714</v>
      </c>
      <c r="C10" s="78">
        <v>1096</v>
      </c>
      <c r="D10" s="78">
        <v>914</v>
      </c>
      <c r="E10" s="79"/>
      <c r="F10" s="105"/>
      <c r="G10" s="79"/>
    </row>
    <row r="11" spans="1:7">
      <c r="A11" s="78">
        <v>10</v>
      </c>
      <c r="B11" s="78" t="s">
        <v>715</v>
      </c>
      <c r="C11" s="78">
        <v>1461</v>
      </c>
      <c r="D11" s="78">
        <v>1280</v>
      </c>
      <c r="E11" s="79"/>
      <c r="F11" s="105"/>
      <c r="G11" s="79"/>
    </row>
    <row r="12" spans="1:7">
      <c r="A12" s="78">
        <v>11</v>
      </c>
      <c r="B12" s="78" t="s">
        <v>716</v>
      </c>
      <c r="C12" s="78">
        <v>1826</v>
      </c>
      <c r="D12" s="78">
        <v>1645</v>
      </c>
      <c r="E12" s="79"/>
      <c r="F12" s="105"/>
      <c r="G12" s="79"/>
    </row>
    <row r="13" spans="1:7">
      <c r="A13" s="78">
        <v>12</v>
      </c>
      <c r="B13" s="78" t="s">
        <v>717</v>
      </c>
      <c r="C13" s="78">
        <v>2191</v>
      </c>
      <c r="D13" s="78">
        <v>2010</v>
      </c>
      <c r="E13" s="79"/>
      <c r="F13" s="105"/>
      <c r="G13" s="79"/>
    </row>
    <row r="14" spans="1:7">
      <c r="A14" s="78">
        <v>13</v>
      </c>
      <c r="B14" s="78" t="s">
        <v>718</v>
      </c>
      <c r="C14" s="78">
        <v>2557</v>
      </c>
      <c r="D14" s="78">
        <v>2375</v>
      </c>
      <c r="E14" s="79"/>
      <c r="F14" s="105"/>
      <c r="G14" s="79"/>
    </row>
    <row r="15" spans="1:7">
      <c r="A15" s="78">
        <v>14</v>
      </c>
      <c r="B15" s="78" t="s">
        <v>719</v>
      </c>
      <c r="C15" s="78">
        <v>2922</v>
      </c>
      <c r="D15" s="78">
        <v>2741</v>
      </c>
      <c r="E15" s="79"/>
      <c r="F15" s="105"/>
      <c r="G15" s="79"/>
    </row>
    <row r="16" spans="1:7">
      <c r="A16" s="78">
        <v>15</v>
      </c>
      <c r="B16" s="78" t="s">
        <v>720</v>
      </c>
      <c r="C16" s="78">
        <v>3287</v>
      </c>
      <c r="D16" s="78">
        <v>3106</v>
      </c>
      <c r="E16" s="79"/>
      <c r="F16" s="105"/>
      <c r="G16" s="79"/>
    </row>
    <row r="17" spans="1:7">
      <c r="A17" s="78">
        <v>16</v>
      </c>
      <c r="B17" s="78" t="s">
        <v>721</v>
      </c>
      <c r="C17" s="78">
        <v>3652</v>
      </c>
      <c r="D17" s="78">
        <v>3471</v>
      </c>
      <c r="E17" s="79"/>
      <c r="F17" s="105"/>
      <c r="G17" s="79"/>
    </row>
    <row r="18" spans="1:7">
      <c r="A18" s="78">
        <v>17</v>
      </c>
      <c r="B18" s="78" t="s">
        <v>722</v>
      </c>
      <c r="C18" s="78">
        <v>5479</v>
      </c>
      <c r="D18" s="78">
        <v>4567</v>
      </c>
      <c r="E18" s="79"/>
      <c r="F18" s="105"/>
      <c r="G18" s="79"/>
    </row>
    <row r="19" spans="1:7">
      <c r="A19" s="78">
        <v>18</v>
      </c>
      <c r="B19" s="78" t="s">
        <v>723</v>
      </c>
      <c r="C19" s="78">
        <v>7305</v>
      </c>
      <c r="D19" s="78">
        <v>6393</v>
      </c>
      <c r="E19" s="79"/>
      <c r="F19" s="105"/>
      <c r="G19" s="79"/>
    </row>
    <row r="20" spans="1:7">
      <c r="A20" s="78">
        <v>19</v>
      </c>
      <c r="B20" s="78" t="s">
        <v>724</v>
      </c>
      <c r="C20" s="78">
        <v>10957</v>
      </c>
      <c r="D20" s="78">
        <v>9131</v>
      </c>
      <c r="E20" s="79"/>
      <c r="F20" s="105"/>
      <c r="G20" s="79"/>
    </row>
  </sheetData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88ED-DE9D-6E4E-B442-5BCDD66C660A}">
  <sheetPr codeName="Sheet4"/>
  <dimension ref="A1:V4"/>
  <sheetViews>
    <sheetView zoomScale="115" zoomScaleNormal="115" workbookViewId="0">
      <selection activeCell="E11" sqref="E11"/>
    </sheetView>
  </sheetViews>
  <sheetFormatPr defaultColWidth="11.42578125" defaultRowHeight="12.75"/>
  <cols>
    <col min="1" max="1" width="10.85546875" style="22"/>
    <col min="2" max="2" width="24.42578125" customWidth="1"/>
    <col min="12" max="12" width="13.7109375" customWidth="1"/>
  </cols>
  <sheetData>
    <row r="1" spans="1:22">
      <c r="A1" s="21"/>
      <c r="B1" s="21" t="s">
        <v>791</v>
      </c>
      <c r="C1" s="21" t="s">
        <v>792</v>
      </c>
      <c r="D1" s="21" t="s">
        <v>793</v>
      </c>
      <c r="E1" s="21" t="s">
        <v>794</v>
      </c>
      <c r="F1" s="21" t="s">
        <v>795</v>
      </c>
      <c r="G1" s="21" t="s">
        <v>796</v>
      </c>
      <c r="H1" s="21" t="s">
        <v>797</v>
      </c>
      <c r="I1" s="21" t="s">
        <v>798</v>
      </c>
      <c r="J1" s="21" t="s">
        <v>799</v>
      </c>
      <c r="K1" s="21" t="s">
        <v>800</v>
      </c>
      <c r="L1" s="21" t="s">
        <v>801</v>
      </c>
      <c r="M1" s="21" t="s">
        <v>802</v>
      </c>
      <c r="N1" s="21" t="s">
        <v>803</v>
      </c>
      <c r="O1" s="21" t="s">
        <v>778</v>
      </c>
      <c r="P1" s="21" t="s">
        <v>804</v>
      </c>
      <c r="Q1" s="21" t="s">
        <v>805</v>
      </c>
      <c r="R1" s="21" t="s">
        <v>806</v>
      </c>
      <c r="S1" s="21" t="s">
        <v>807</v>
      </c>
      <c r="T1" s="21" t="s">
        <v>808</v>
      </c>
      <c r="U1" s="21" t="s">
        <v>790</v>
      </c>
      <c r="V1" s="21" t="s">
        <v>809</v>
      </c>
    </row>
    <row r="2" spans="1:22">
      <c r="A2" s="21" t="s">
        <v>725</v>
      </c>
      <c r="B2" s="21">
        <v>400</v>
      </c>
      <c r="C2" s="21">
        <v>300</v>
      </c>
      <c r="D2" s="21">
        <v>400</v>
      </c>
      <c r="E2" s="21">
        <v>200</v>
      </c>
      <c r="F2" s="21">
        <v>100</v>
      </c>
      <c r="G2" s="21">
        <v>250</v>
      </c>
      <c r="H2" s="21">
        <v>200</v>
      </c>
      <c r="I2" s="21">
        <v>250</v>
      </c>
      <c r="J2" s="21">
        <v>200</v>
      </c>
      <c r="K2" s="21">
        <v>400</v>
      </c>
      <c r="L2" s="21">
        <v>400</v>
      </c>
      <c r="M2" s="21">
        <v>100</v>
      </c>
      <c r="N2" s="21">
        <v>300</v>
      </c>
      <c r="O2" s="21">
        <v>400</v>
      </c>
      <c r="P2" s="21">
        <v>400</v>
      </c>
      <c r="Q2" s="21">
        <v>200</v>
      </c>
      <c r="R2" s="21">
        <v>200</v>
      </c>
      <c r="S2" s="21">
        <v>150</v>
      </c>
      <c r="T2" s="21">
        <v>400</v>
      </c>
      <c r="U2" s="21">
        <v>200</v>
      </c>
      <c r="V2" s="21">
        <v>400</v>
      </c>
    </row>
    <row r="3" spans="1:22">
      <c r="A3" s="21" t="s">
        <v>726</v>
      </c>
      <c r="B3" s="21">
        <v>500</v>
      </c>
      <c r="C3" s="21">
        <v>450</v>
      </c>
      <c r="D3" s="21">
        <v>500</v>
      </c>
      <c r="E3" s="21">
        <v>300</v>
      </c>
      <c r="F3" s="21">
        <v>150</v>
      </c>
      <c r="G3" s="21">
        <v>300</v>
      </c>
      <c r="H3" s="21">
        <v>250</v>
      </c>
      <c r="I3" s="21">
        <v>300</v>
      </c>
      <c r="J3" s="21">
        <v>250</v>
      </c>
      <c r="K3" s="21">
        <v>500</v>
      </c>
      <c r="L3" s="21">
        <v>500</v>
      </c>
      <c r="M3" s="21">
        <v>100</v>
      </c>
      <c r="N3" s="21">
        <v>400</v>
      </c>
      <c r="O3" s="21">
        <v>500</v>
      </c>
      <c r="P3" s="21">
        <v>500</v>
      </c>
      <c r="Q3" s="21">
        <v>300</v>
      </c>
      <c r="R3" s="21">
        <v>300</v>
      </c>
      <c r="S3" s="21">
        <v>200</v>
      </c>
      <c r="T3" s="21">
        <v>500</v>
      </c>
      <c r="U3" s="21">
        <v>300</v>
      </c>
      <c r="V3" s="21">
        <v>500</v>
      </c>
    </row>
    <row r="4" spans="1:22">
      <c r="A4" s="21" t="s">
        <v>727</v>
      </c>
      <c r="B4" s="21">
        <v>300</v>
      </c>
      <c r="C4" s="21">
        <v>200</v>
      </c>
      <c r="D4" s="21">
        <v>300</v>
      </c>
      <c r="E4" s="21">
        <v>150</v>
      </c>
      <c r="F4" s="21">
        <v>100</v>
      </c>
      <c r="G4" s="21">
        <v>150</v>
      </c>
      <c r="H4" s="21">
        <v>100</v>
      </c>
      <c r="I4" s="21">
        <v>150</v>
      </c>
      <c r="J4" s="21">
        <v>100</v>
      </c>
      <c r="K4" s="21">
        <v>350</v>
      </c>
      <c r="L4" s="21">
        <v>300</v>
      </c>
      <c r="M4" s="21">
        <v>100</v>
      </c>
      <c r="N4" s="21">
        <v>200</v>
      </c>
      <c r="O4" s="21">
        <v>300</v>
      </c>
      <c r="P4" s="21">
        <v>300</v>
      </c>
      <c r="Q4" s="21">
        <v>150</v>
      </c>
      <c r="R4" s="21">
        <v>150</v>
      </c>
      <c r="S4" s="21">
        <v>100</v>
      </c>
      <c r="T4" s="21">
        <v>300</v>
      </c>
      <c r="U4" s="21">
        <v>150</v>
      </c>
      <c r="V4" s="21">
        <v>300</v>
      </c>
    </row>
  </sheetData>
  <phoneticPr fontId="5" type="noConversion"/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92D050"/>
  </sheetPr>
  <dimension ref="A1:R16"/>
  <sheetViews>
    <sheetView workbookViewId="0">
      <selection activeCell="E22" sqref="E22"/>
    </sheetView>
  </sheetViews>
  <sheetFormatPr defaultColWidth="8.85546875" defaultRowHeight="12.75"/>
  <cols>
    <col min="1" max="1" width="33.140625" bestFit="1" customWidth="1"/>
    <col min="2" max="2" width="17.42578125" bestFit="1" customWidth="1"/>
    <col min="3" max="3" width="7" bestFit="1" customWidth="1"/>
    <col min="4" max="4" width="10.140625" bestFit="1" customWidth="1"/>
    <col min="5" max="6" width="5" bestFit="1" customWidth="1"/>
    <col min="7" max="7" width="8.42578125" customWidth="1"/>
    <col min="8" max="8" width="14.28515625" bestFit="1" customWidth="1"/>
    <col min="9" max="9" width="7" bestFit="1" customWidth="1"/>
    <col min="10" max="10" width="5" bestFit="1" customWidth="1"/>
    <col min="11" max="11" width="10.140625" bestFit="1" customWidth="1"/>
    <col min="12" max="12" width="18.7109375" bestFit="1" customWidth="1"/>
    <col min="13" max="13" width="8.7109375" bestFit="1" customWidth="1"/>
    <col min="14" max="14" width="6.7109375" bestFit="1" customWidth="1"/>
    <col min="15" max="15" width="9.42578125" customWidth="1"/>
    <col min="17" max="17" width="9.140625" style="22"/>
  </cols>
  <sheetData>
    <row r="1" spans="1:18" s="22" customFormat="1" ht="27.75" customHeight="1">
      <c r="A1" s="9" t="s">
        <v>26</v>
      </c>
      <c r="B1" s="10" t="s">
        <v>27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33</v>
      </c>
      <c r="I1" s="10" t="s">
        <v>34</v>
      </c>
      <c r="J1" s="10" t="s">
        <v>35</v>
      </c>
      <c r="K1" s="10" t="s">
        <v>36</v>
      </c>
      <c r="L1" s="10" t="s">
        <v>37</v>
      </c>
      <c r="M1" s="10" t="s">
        <v>38</v>
      </c>
      <c r="N1" s="10" t="s">
        <v>39</v>
      </c>
      <c r="O1" s="10" t="s">
        <v>40</v>
      </c>
      <c r="P1" s="10" t="s">
        <v>676</v>
      </c>
    </row>
    <row r="2" spans="1:18" s="22" customFormat="1">
      <c r="A2" s="22" t="s">
        <v>239</v>
      </c>
      <c r="B2" s="18" t="s">
        <v>12</v>
      </c>
      <c r="C2" s="17" t="s">
        <v>364</v>
      </c>
      <c r="D2" s="17" t="s">
        <v>54</v>
      </c>
      <c r="E2" s="17" t="s">
        <v>14</v>
      </c>
      <c r="F2" s="17" t="s">
        <v>244</v>
      </c>
      <c r="G2" s="17" t="s">
        <v>245</v>
      </c>
      <c r="H2" s="17" t="s">
        <v>45</v>
      </c>
      <c r="I2" s="17" t="s">
        <v>241</v>
      </c>
      <c r="J2" s="4">
        <v>792</v>
      </c>
      <c r="K2" s="11">
        <v>41305</v>
      </c>
      <c r="L2" s="22" t="s">
        <v>19</v>
      </c>
      <c r="M2" s="17" t="s">
        <v>52</v>
      </c>
      <c r="N2" s="17" t="s">
        <v>15</v>
      </c>
      <c r="O2" s="19"/>
      <c r="P2" s="2"/>
      <c r="Q2" s="22">
        <v>1139.229730608648</v>
      </c>
      <c r="R2" s="22" t="s">
        <v>697</v>
      </c>
    </row>
    <row r="3" spans="1:18" s="22" customFormat="1">
      <c r="A3" s="22" t="s">
        <v>206</v>
      </c>
      <c r="B3" s="18" t="s">
        <v>12</v>
      </c>
      <c r="C3" s="17" t="s">
        <v>364</v>
      </c>
      <c r="D3" s="17">
        <v>3</v>
      </c>
      <c r="E3" s="17" t="s">
        <v>61</v>
      </c>
      <c r="F3" s="17" t="s">
        <v>207</v>
      </c>
      <c r="G3" s="17" t="s">
        <v>208</v>
      </c>
      <c r="H3" s="17" t="s">
        <v>209</v>
      </c>
      <c r="I3" s="17" t="s">
        <v>210</v>
      </c>
      <c r="J3" s="4">
        <v>1015</v>
      </c>
      <c r="K3" s="11">
        <v>41528</v>
      </c>
      <c r="L3" s="22" t="s">
        <v>19</v>
      </c>
      <c r="M3" s="17" t="s">
        <v>52</v>
      </c>
      <c r="N3" s="17" t="s">
        <v>660</v>
      </c>
      <c r="O3" s="19"/>
      <c r="P3" s="2"/>
      <c r="Q3" s="22">
        <v>2273.8212834826186</v>
      </c>
    </row>
    <row r="4" spans="1:18" s="22" customFormat="1">
      <c r="A4" s="22" t="s">
        <v>59</v>
      </c>
      <c r="B4" s="18" t="s">
        <v>12</v>
      </c>
      <c r="C4" s="17" t="s">
        <v>364</v>
      </c>
      <c r="D4" s="17">
        <v>3</v>
      </c>
      <c r="E4" s="17" t="s">
        <v>61</v>
      </c>
      <c r="F4" s="17">
        <v>100</v>
      </c>
      <c r="G4" s="17" t="s">
        <v>62</v>
      </c>
      <c r="H4" s="17" t="s">
        <v>63</v>
      </c>
      <c r="I4" s="17" t="s">
        <v>64</v>
      </c>
      <c r="J4" s="4">
        <v>1249</v>
      </c>
      <c r="K4" s="11">
        <v>41762</v>
      </c>
      <c r="L4" s="22" t="s">
        <v>19</v>
      </c>
      <c r="M4" s="17" t="s">
        <v>21</v>
      </c>
      <c r="N4" s="17" t="s">
        <v>660</v>
      </c>
      <c r="O4" s="19">
        <v>1E-3</v>
      </c>
      <c r="P4" s="2"/>
      <c r="Q4" s="22">
        <v>153.52234745984097</v>
      </c>
    </row>
    <row r="5" spans="1:18" s="22" customFormat="1">
      <c r="A5" s="22" t="s">
        <v>130</v>
      </c>
      <c r="B5" s="18" t="s">
        <v>12</v>
      </c>
      <c r="C5" s="17" t="s">
        <v>364</v>
      </c>
      <c r="D5" s="17" t="s">
        <v>66</v>
      </c>
      <c r="E5" s="17" t="s">
        <v>370</v>
      </c>
      <c r="F5" s="17" t="s">
        <v>134</v>
      </c>
      <c r="G5" s="17" t="s">
        <v>135</v>
      </c>
      <c r="H5" s="17" t="s">
        <v>132</v>
      </c>
      <c r="I5" s="17" t="s">
        <v>133</v>
      </c>
      <c r="J5" s="4">
        <v>1313</v>
      </c>
      <c r="K5" s="11">
        <v>41826</v>
      </c>
      <c r="L5" s="22" t="s">
        <v>19</v>
      </c>
      <c r="M5" s="17" t="s">
        <v>22</v>
      </c>
      <c r="N5" s="17" t="s">
        <v>2</v>
      </c>
      <c r="O5" s="19">
        <v>1E-3</v>
      </c>
      <c r="P5" s="2"/>
      <c r="Q5" s="22">
        <v>213.5598015959402</v>
      </c>
    </row>
    <row r="6" spans="1:18" s="22" customFormat="1">
      <c r="A6" s="22" t="s">
        <v>322</v>
      </c>
      <c r="B6" s="18" t="s">
        <v>12</v>
      </c>
      <c r="C6" s="17" t="s">
        <v>364</v>
      </c>
      <c r="D6" s="17" t="s">
        <v>66</v>
      </c>
      <c r="E6" s="17" t="s">
        <v>14</v>
      </c>
      <c r="F6" s="17" t="s">
        <v>327</v>
      </c>
      <c r="G6" s="23" t="s">
        <v>690</v>
      </c>
      <c r="H6" s="17" t="s">
        <v>45</v>
      </c>
      <c r="I6" s="17" t="s">
        <v>325</v>
      </c>
      <c r="J6" s="4">
        <v>1479</v>
      </c>
      <c r="K6" s="11">
        <v>41992</v>
      </c>
      <c r="L6" s="22" t="s">
        <v>19</v>
      </c>
      <c r="M6" s="17" t="s">
        <v>52</v>
      </c>
      <c r="N6" s="17" t="s">
        <v>15</v>
      </c>
      <c r="O6" s="19"/>
      <c r="P6" s="2"/>
      <c r="Q6" s="22">
        <v>210.18532826505691</v>
      </c>
    </row>
    <row r="7" spans="1:18" s="22" customFormat="1">
      <c r="A7" s="22" t="s">
        <v>294</v>
      </c>
      <c r="B7" s="18" t="s">
        <v>12</v>
      </c>
      <c r="C7" s="17" t="s">
        <v>364</v>
      </c>
      <c r="D7" s="17" t="s">
        <v>42</v>
      </c>
      <c r="E7" s="17" t="s">
        <v>295</v>
      </c>
      <c r="F7" s="17" t="s">
        <v>270</v>
      </c>
      <c r="G7" s="17" t="s">
        <v>296</v>
      </c>
      <c r="H7" s="17" t="s">
        <v>80</v>
      </c>
      <c r="I7" s="17" t="s">
        <v>297</v>
      </c>
      <c r="J7" s="4">
        <v>9284</v>
      </c>
      <c r="K7" s="11">
        <v>49797</v>
      </c>
      <c r="L7" s="22" t="s">
        <v>19</v>
      </c>
      <c r="M7" s="17" t="s">
        <v>21</v>
      </c>
      <c r="N7" s="17" t="s">
        <v>668</v>
      </c>
      <c r="O7" s="19"/>
      <c r="P7" s="2"/>
      <c r="Q7" s="22">
        <v>129.53049722224819</v>
      </c>
    </row>
    <row r="8" spans="1:18" s="22" customFormat="1">
      <c r="A8" s="22" t="s">
        <v>294</v>
      </c>
      <c r="B8" s="18" t="s">
        <v>12</v>
      </c>
      <c r="C8" s="17" t="s">
        <v>364</v>
      </c>
      <c r="D8" s="17" t="s">
        <v>42</v>
      </c>
      <c r="E8" s="17" t="s">
        <v>295</v>
      </c>
      <c r="F8" s="17" t="s">
        <v>270</v>
      </c>
      <c r="G8" s="17" t="s">
        <v>681</v>
      </c>
      <c r="H8" s="17" t="s">
        <v>80</v>
      </c>
      <c r="I8" s="17" t="s">
        <v>297</v>
      </c>
      <c r="J8" s="4">
        <v>9284</v>
      </c>
      <c r="K8" s="11">
        <v>49797</v>
      </c>
      <c r="L8" s="22" t="s">
        <v>19</v>
      </c>
      <c r="M8" s="17" t="s">
        <v>20</v>
      </c>
      <c r="N8" s="17" t="s">
        <v>668</v>
      </c>
      <c r="O8" s="19"/>
      <c r="P8" s="2"/>
      <c r="Q8" s="22">
        <v>129.74493692281109</v>
      </c>
    </row>
    <row r="10" spans="1:18" s="22" customFormat="1">
      <c r="A10" s="22" t="s">
        <v>535</v>
      </c>
      <c r="B10" s="18" t="s">
        <v>16</v>
      </c>
      <c r="C10" s="17" t="s">
        <v>364</v>
      </c>
      <c r="D10" s="17">
        <v>1</v>
      </c>
      <c r="E10" s="17" t="s">
        <v>14</v>
      </c>
      <c r="F10" s="17" t="s">
        <v>43</v>
      </c>
      <c r="G10" s="17" t="s">
        <v>536</v>
      </c>
      <c r="H10" s="17" t="s">
        <v>537</v>
      </c>
      <c r="I10" s="17" t="s">
        <v>538</v>
      </c>
      <c r="J10" s="4">
        <v>300</v>
      </c>
      <c r="K10" s="11">
        <v>40813</v>
      </c>
      <c r="M10" s="17" t="s">
        <v>22</v>
      </c>
      <c r="N10" s="17" t="s">
        <v>15</v>
      </c>
      <c r="O10" s="19">
        <v>1E-3</v>
      </c>
      <c r="P10" s="2">
        <v>0.05</v>
      </c>
      <c r="Q10" s="22">
        <v>614.83310819620829</v>
      </c>
      <c r="R10" s="22" t="s">
        <v>698</v>
      </c>
    </row>
    <row r="11" spans="1:18" s="22" customFormat="1">
      <c r="A11" s="22" t="s">
        <v>535</v>
      </c>
      <c r="B11" s="18" t="s">
        <v>16</v>
      </c>
      <c r="C11" s="17" t="s">
        <v>364</v>
      </c>
      <c r="D11" s="17">
        <v>1</v>
      </c>
      <c r="E11" s="17" t="s">
        <v>14</v>
      </c>
      <c r="F11" s="17" t="s">
        <v>362</v>
      </c>
      <c r="G11" s="17" t="s">
        <v>539</v>
      </c>
      <c r="H11" s="17" t="s">
        <v>537</v>
      </c>
      <c r="I11" s="17" t="s">
        <v>538</v>
      </c>
      <c r="J11" s="4">
        <v>2622</v>
      </c>
      <c r="K11" s="11">
        <v>43135</v>
      </c>
      <c r="M11" s="17" t="s">
        <v>52</v>
      </c>
      <c r="N11" s="17" t="s">
        <v>15</v>
      </c>
      <c r="O11" s="19">
        <v>1E-3</v>
      </c>
      <c r="P11" s="2">
        <v>0.05</v>
      </c>
      <c r="Q11" s="22">
        <v>269.35884206513288</v>
      </c>
    </row>
    <row r="12" spans="1:18" s="22" customFormat="1">
      <c r="A12" s="22" t="s">
        <v>656</v>
      </c>
      <c r="B12" s="6" t="s">
        <v>16</v>
      </c>
      <c r="C12" s="17" t="s">
        <v>364</v>
      </c>
      <c r="D12" s="17">
        <v>1</v>
      </c>
      <c r="E12" s="17" t="s">
        <v>370</v>
      </c>
      <c r="F12" s="17" t="s">
        <v>49</v>
      </c>
      <c r="G12" s="17" t="s">
        <v>657</v>
      </c>
      <c r="H12" s="17" t="s">
        <v>132</v>
      </c>
      <c r="I12" s="17" t="s">
        <v>658</v>
      </c>
      <c r="J12" s="4">
        <v>181</v>
      </c>
      <c r="K12" s="11">
        <v>40694</v>
      </c>
      <c r="L12" s="3"/>
      <c r="M12" s="17" t="s">
        <v>21</v>
      </c>
      <c r="N12" s="17" t="s">
        <v>2</v>
      </c>
      <c r="O12" s="17"/>
      <c r="P12" s="2"/>
      <c r="Q12" s="22">
        <v>72.138591956835853</v>
      </c>
    </row>
    <row r="13" spans="1:18" s="22" customFormat="1">
      <c r="A13" s="22" t="s">
        <v>473</v>
      </c>
      <c r="B13" s="6" t="s">
        <v>16</v>
      </c>
      <c r="C13" s="17" t="s">
        <v>364</v>
      </c>
      <c r="D13" s="17" t="s">
        <v>42</v>
      </c>
      <c r="E13" s="17" t="s">
        <v>61</v>
      </c>
      <c r="F13" s="17" t="s">
        <v>357</v>
      </c>
      <c r="G13" s="17" t="s">
        <v>474</v>
      </c>
      <c r="H13" s="17" t="s">
        <v>475</v>
      </c>
      <c r="I13" s="17" t="s">
        <v>476</v>
      </c>
      <c r="J13" s="4">
        <v>944</v>
      </c>
      <c r="K13" s="11">
        <v>41457</v>
      </c>
      <c r="L13" s="3"/>
      <c r="M13" s="17" t="s">
        <v>52</v>
      </c>
      <c r="N13" s="17" t="s">
        <v>660</v>
      </c>
      <c r="O13" s="17">
        <v>1E-3</v>
      </c>
      <c r="P13" s="2">
        <v>0.05</v>
      </c>
      <c r="Q13" s="22">
        <v>192.48095014735321</v>
      </c>
    </row>
    <row r="16" spans="1:18">
      <c r="A16" s="22" t="s">
        <v>699</v>
      </c>
      <c r="B16" s="22" t="s">
        <v>535</v>
      </c>
      <c r="C16" s="17" t="s">
        <v>536</v>
      </c>
      <c r="D16">
        <f>510/Q11</f>
        <v>1.8933850327314607</v>
      </c>
    </row>
  </sheetData>
  <phoneticPr fontId="5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rgb="FFFF0000"/>
  </sheetPr>
  <dimension ref="A1:H125"/>
  <sheetViews>
    <sheetView zoomScale="130" zoomScaleNormal="130" workbookViewId="0">
      <selection activeCell="H22" sqref="H22"/>
    </sheetView>
  </sheetViews>
  <sheetFormatPr defaultColWidth="8.85546875" defaultRowHeight="12.75"/>
  <cols>
    <col min="8" max="8" width="9.140625" style="22"/>
  </cols>
  <sheetData>
    <row r="1" spans="1:8">
      <c r="A1" s="8" t="s">
        <v>23</v>
      </c>
      <c r="B1" s="8" t="s">
        <v>24</v>
      </c>
      <c r="C1" s="1"/>
      <c r="D1" s="8" t="s">
        <v>25</v>
      </c>
      <c r="E1" s="8" t="s">
        <v>24</v>
      </c>
      <c r="F1" s="22"/>
      <c r="G1" s="8" t="s">
        <v>13</v>
      </c>
      <c r="H1" s="26"/>
    </row>
    <row r="2" spans="1:8">
      <c r="A2" s="17" t="s">
        <v>426</v>
      </c>
      <c r="B2" s="22">
        <v>2</v>
      </c>
      <c r="C2" s="22"/>
      <c r="D2" s="17" t="s">
        <v>254</v>
      </c>
      <c r="E2" s="22">
        <v>1</v>
      </c>
      <c r="F2" s="22"/>
      <c r="G2" s="17" t="s">
        <v>790</v>
      </c>
      <c r="H2" s="17"/>
    </row>
    <row r="3" spans="1:8">
      <c r="A3" s="23" t="s">
        <v>680</v>
      </c>
      <c r="B3" s="22">
        <v>2</v>
      </c>
      <c r="C3" s="22"/>
      <c r="D3" s="17" t="s">
        <v>257</v>
      </c>
      <c r="E3" s="22">
        <v>1</v>
      </c>
      <c r="F3" s="22"/>
      <c r="G3" s="22"/>
    </row>
    <row r="4" spans="1:8">
      <c r="A4" s="17" t="s">
        <v>48</v>
      </c>
      <c r="B4" s="22">
        <v>2</v>
      </c>
      <c r="C4" s="22"/>
      <c r="D4" s="17" t="s">
        <v>262</v>
      </c>
      <c r="E4" s="22">
        <v>3</v>
      </c>
      <c r="F4" s="22"/>
      <c r="G4" s="22"/>
    </row>
    <row r="5" spans="1:8">
      <c r="A5" s="17" t="s">
        <v>44</v>
      </c>
      <c r="B5" s="22">
        <v>2</v>
      </c>
      <c r="C5" s="22"/>
      <c r="D5" s="17" t="s">
        <v>264</v>
      </c>
      <c r="E5" s="22">
        <v>3</v>
      </c>
      <c r="F5" s="22"/>
      <c r="G5" s="22"/>
    </row>
    <row r="6" spans="1:8">
      <c r="A6" s="17" t="s">
        <v>71</v>
      </c>
      <c r="B6" s="22">
        <v>2</v>
      </c>
      <c r="C6" s="22"/>
      <c r="D6" s="17" t="s">
        <v>169</v>
      </c>
      <c r="E6" s="22">
        <v>3</v>
      </c>
      <c r="F6" s="22"/>
      <c r="G6" s="22"/>
    </row>
    <row r="7" spans="1:8">
      <c r="A7" s="17" t="s">
        <v>56</v>
      </c>
      <c r="B7" s="22">
        <v>4</v>
      </c>
      <c r="C7" s="22"/>
      <c r="D7" s="17" t="s">
        <v>172</v>
      </c>
      <c r="E7" s="22">
        <v>3</v>
      </c>
      <c r="F7" s="22"/>
      <c r="G7" s="22"/>
    </row>
    <row r="8" spans="1:8">
      <c r="A8" s="17" t="s">
        <v>85</v>
      </c>
      <c r="B8" s="22">
        <v>2</v>
      </c>
      <c r="C8" s="22"/>
      <c r="D8" s="17" t="s">
        <v>318</v>
      </c>
      <c r="E8" s="22">
        <v>2</v>
      </c>
      <c r="F8" s="22"/>
      <c r="G8" s="22"/>
    </row>
    <row r="9" spans="1:8">
      <c r="A9" s="17" t="s">
        <v>88</v>
      </c>
      <c r="B9" s="22">
        <v>2</v>
      </c>
      <c r="C9" s="22"/>
      <c r="D9" s="17" t="s">
        <v>321</v>
      </c>
      <c r="E9" s="22">
        <v>2</v>
      </c>
      <c r="F9" s="22"/>
      <c r="G9" s="22"/>
    </row>
    <row r="10" spans="1:8">
      <c r="A10" s="17" t="s">
        <v>240</v>
      </c>
      <c r="B10" s="22">
        <v>2</v>
      </c>
      <c r="C10" s="22"/>
      <c r="D10" s="17" t="s">
        <v>292</v>
      </c>
      <c r="E10" s="22">
        <v>1</v>
      </c>
      <c r="F10" s="22"/>
      <c r="G10" s="22"/>
    </row>
    <row r="11" spans="1:8">
      <c r="A11" s="17" t="s">
        <v>243</v>
      </c>
      <c r="B11" s="22">
        <v>2</v>
      </c>
      <c r="C11" s="22"/>
      <c r="D11" s="17" t="s">
        <v>75</v>
      </c>
      <c r="E11" s="22">
        <v>1</v>
      </c>
      <c r="F11" s="22"/>
      <c r="G11" s="22"/>
    </row>
    <row r="12" spans="1:8">
      <c r="A12" s="17" t="s">
        <v>405</v>
      </c>
      <c r="B12" s="22">
        <v>3</v>
      </c>
      <c r="C12" s="22"/>
      <c r="D12" s="17" t="s">
        <v>235</v>
      </c>
      <c r="E12" s="22">
        <v>1</v>
      </c>
      <c r="F12" s="22"/>
      <c r="G12" s="22"/>
    </row>
    <row r="13" spans="1:8">
      <c r="A13" s="17" t="s">
        <v>413</v>
      </c>
      <c r="B13" s="22">
        <v>3</v>
      </c>
      <c r="C13" s="22"/>
      <c r="D13" s="17" t="s">
        <v>104</v>
      </c>
      <c r="E13" s="22">
        <v>2</v>
      </c>
      <c r="F13" s="22"/>
      <c r="G13" s="22"/>
    </row>
    <row r="14" spans="1:8">
      <c r="A14" s="17" t="s">
        <v>415</v>
      </c>
      <c r="B14" s="22">
        <v>3</v>
      </c>
      <c r="C14" s="22"/>
      <c r="D14" s="17" t="s">
        <v>107</v>
      </c>
      <c r="E14" s="22">
        <v>3</v>
      </c>
      <c r="F14" s="22"/>
      <c r="G14" s="22"/>
    </row>
    <row r="15" spans="1:8">
      <c r="A15" s="17" t="s">
        <v>416</v>
      </c>
      <c r="B15" s="22">
        <v>3</v>
      </c>
      <c r="C15" s="22"/>
      <c r="D15" s="17" t="s">
        <v>109</v>
      </c>
      <c r="E15" s="22">
        <v>2</v>
      </c>
      <c r="F15" s="22"/>
      <c r="G15" s="22"/>
    </row>
    <row r="16" spans="1:8">
      <c r="A16" s="17" t="s">
        <v>131</v>
      </c>
      <c r="B16" s="22">
        <v>2</v>
      </c>
      <c r="C16" s="22"/>
      <c r="D16" s="17" t="s">
        <v>111</v>
      </c>
      <c r="E16" s="22">
        <v>2</v>
      </c>
      <c r="F16" s="22"/>
      <c r="G16" s="22"/>
    </row>
    <row r="17" spans="1:7">
      <c r="A17" s="17" t="s">
        <v>332</v>
      </c>
      <c r="B17" s="22">
        <v>2</v>
      </c>
      <c r="C17" s="22"/>
      <c r="D17" s="17" t="s">
        <v>394</v>
      </c>
      <c r="E17" s="22">
        <v>1</v>
      </c>
      <c r="F17" s="22"/>
      <c r="G17" s="22"/>
    </row>
    <row r="18" spans="1:7">
      <c r="A18" s="17" t="s">
        <v>91</v>
      </c>
      <c r="B18" s="22">
        <v>2</v>
      </c>
      <c r="C18" s="22"/>
      <c r="D18" s="17" t="s">
        <v>396</v>
      </c>
      <c r="E18" s="22">
        <v>1</v>
      </c>
      <c r="F18" s="22"/>
      <c r="G18" s="22"/>
    </row>
    <row r="19" spans="1:7">
      <c r="A19" s="17" t="s">
        <v>62</v>
      </c>
      <c r="B19" s="22">
        <v>2</v>
      </c>
      <c r="C19" s="22"/>
      <c r="D19" s="17" t="s">
        <v>397</v>
      </c>
      <c r="E19" s="22">
        <v>1</v>
      </c>
      <c r="F19" s="22"/>
      <c r="G19" s="22"/>
    </row>
    <row r="20" spans="1:7">
      <c r="A20" s="17" t="s">
        <v>312</v>
      </c>
      <c r="B20" s="22">
        <v>2</v>
      </c>
      <c r="C20" s="22"/>
      <c r="D20" s="17" t="s">
        <v>399</v>
      </c>
      <c r="E20" s="22">
        <v>1</v>
      </c>
      <c r="F20" s="22"/>
      <c r="G20" s="22"/>
    </row>
    <row r="21" spans="1:7">
      <c r="A21" s="17" t="s">
        <v>95</v>
      </c>
      <c r="B21" s="22">
        <v>2</v>
      </c>
      <c r="C21" s="22"/>
      <c r="D21" s="17" t="s">
        <v>469</v>
      </c>
      <c r="E21" s="22">
        <v>1</v>
      </c>
      <c r="F21" s="22"/>
      <c r="G21" s="22"/>
    </row>
    <row r="22" spans="1:7">
      <c r="A22" s="17" t="s">
        <v>98</v>
      </c>
      <c r="B22" s="22">
        <v>2</v>
      </c>
      <c r="C22" s="22"/>
      <c r="D22" s="17" t="s">
        <v>472</v>
      </c>
      <c r="E22" s="22">
        <v>1</v>
      </c>
      <c r="F22" s="22"/>
      <c r="G22" s="22"/>
    </row>
    <row r="23" spans="1:7">
      <c r="A23" s="17" t="s">
        <v>75</v>
      </c>
      <c r="B23" s="22">
        <v>2</v>
      </c>
      <c r="C23" s="22"/>
      <c r="D23" s="17" t="s">
        <v>625</v>
      </c>
      <c r="E23" s="22">
        <v>1</v>
      </c>
      <c r="F23" s="22"/>
      <c r="G23" s="22"/>
    </row>
    <row r="24" spans="1:7">
      <c r="A24" s="17" t="s">
        <v>408</v>
      </c>
      <c r="B24" s="22">
        <v>3</v>
      </c>
      <c r="C24" s="22"/>
      <c r="D24" s="17" t="s">
        <v>623</v>
      </c>
      <c r="E24" s="22">
        <v>1</v>
      </c>
      <c r="F24" s="22"/>
      <c r="G24" s="22"/>
    </row>
    <row r="25" spans="1:7">
      <c r="A25" s="17" t="s">
        <v>411</v>
      </c>
      <c r="B25" s="22">
        <v>3</v>
      </c>
      <c r="C25" s="22"/>
      <c r="D25" s="17" t="s">
        <v>626</v>
      </c>
      <c r="E25" s="22">
        <v>1</v>
      </c>
      <c r="F25" s="22"/>
      <c r="G25" s="22"/>
    </row>
    <row r="26" spans="1:7">
      <c r="A26" s="17" t="s">
        <v>418</v>
      </c>
      <c r="B26" s="22">
        <v>3</v>
      </c>
      <c r="D26" s="17" t="s">
        <v>627</v>
      </c>
      <c r="E26" s="22">
        <v>1</v>
      </c>
    </row>
    <row r="27" spans="1:7">
      <c r="A27" s="17" t="s">
        <v>420</v>
      </c>
      <c r="B27" s="22">
        <v>3</v>
      </c>
      <c r="D27" s="17" t="s">
        <v>484</v>
      </c>
      <c r="E27" s="22">
        <v>1</v>
      </c>
    </row>
    <row r="28" spans="1:7">
      <c r="A28" s="17" t="s">
        <v>277</v>
      </c>
      <c r="B28" s="22">
        <v>2</v>
      </c>
      <c r="D28" s="17" t="s">
        <v>486</v>
      </c>
      <c r="E28" s="22">
        <v>1</v>
      </c>
    </row>
    <row r="29" spans="1:7">
      <c r="A29" s="17" t="s">
        <v>280</v>
      </c>
      <c r="B29" s="22">
        <v>2</v>
      </c>
      <c r="D29" s="17" t="s">
        <v>487</v>
      </c>
      <c r="E29" s="22">
        <v>2</v>
      </c>
    </row>
    <row r="30" spans="1:7">
      <c r="A30" s="17" t="s">
        <v>79</v>
      </c>
      <c r="B30" s="22">
        <v>2</v>
      </c>
      <c r="D30" s="17" t="s">
        <v>193</v>
      </c>
      <c r="E30" s="22">
        <v>3</v>
      </c>
    </row>
    <row r="31" spans="1:7">
      <c r="A31" s="17" t="s">
        <v>83</v>
      </c>
      <c r="B31" s="22">
        <v>2</v>
      </c>
      <c r="D31" s="17" t="s">
        <v>195</v>
      </c>
      <c r="E31" s="22">
        <v>3</v>
      </c>
    </row>
    <row r="32" spans="1:7">
      <c r="A32" s="17" t="s">
        <v>598</v>
      </c>
      <c r="B32" s="22">
        <v>2</v>
      </c>
      <c r="D32" s="17" t="s">
        <v>197</v>
      </c>
      <c r="E32" s="22">
        <v>3</v>
      </c>
    </row>
    <row r="33" spans="1:5">
      <c r="A33" s="17" t="s">
        <v>599</v>
      </c>
      <c r="B33" s="22">
        <v>2</v>
      </c>
      <c r="D33" s="17" t="s">
        <v>197</v>
      </c>
      <c r="E33" s="22">
        <v>1</v>
      </c>
    </row>
    <row r="34" spans="1:5">
      <c r="A34" s="17" t="s">
        <v>600</v>
      </c>
      <c r="B34" s="22">
        <v>2</v>
      </c>
      <c r="D34" s="17" t="s">
        <v>511</v>
      </c>
      <c r="E34" s="22">
        <v>1</v>
      </c>
    </row>
    <row r="35" spans="1:5">
      <c r="A35" s="17" t="s">
        <v>602</v>
      </c>
      <c r="B35" s="22">
        <v>2</v>
      </c>
      <c r="D35" s="17" t="s">
        <v>684</v>
      </c>
      <c r="E35" s="22">
        <v>1</v>
      </c>
    </row>
    <row r="36" spans="1:5">
      <c r="A36" s="17" t="s">
        <v>145</v>
      </c>
      <c r="B36" s="22">
        <v>2</v>
      </c>
      <c r="D36" s="17" t="s">
        <v>513</v>
      </c>
      <c r="E36" s="22">
        <v>2</v>
      </c>
    </row>
    <row r="37" spans="1:5">
      <c r="A37" s="17" t="s">
        <v>603</v>
      </c>
      <c r="B37" s="22">
        <v>2</v>
      </c>
      <c r="D37" s="17" t="s">
        <v>515</v>
      </c>
      <c r="E37" s="22">
        <v>1</v>
      </c>
    </row>
    <row r="38" spans="1:5">
      <c r="A38" s="17" t="s">
        <v>604</v>
      </c>
      <c r="B38" s="22">
        <v>2</v>
      </c>
      <c r="D38" s="17" t="s">
        <v>128</v>
      </c>
      <c r="E38" s="22">
        <v>1</v>
      </c>
    </row>
    <row r="39" spans="1:5">
      <c r="A39" s="17" t="s">
        <v>464</v>
      </c>
      <c r="B39" s="22">
        <v>2</v>
      </c>
      <c r="D39" s="17" t="s">
        <v>565</v>
      </c>
      <c r="E39" s="22">
        <v>1</v>
      </c>
    </row>
    <row r="40" spans="1:5">
      <c r="A40" s="17" t="s">
        <v>309</v>
      </c>
      <c r="B40" s="22">
        <v>2</v>
      </c>
      <c r="D40" s="17" t="s">
        <v>563</v>
      </c>
      <c r="E40" s="22">
        <v>1</v>
      </c>
    </row>
    <row r="41" spans="1:5">
      <c r="A41" s="17" t="s">
        <v>520</v>
      </c>
      <c r="B41" s="22">
        <v>2</v>
      </c>
      <c r="D41" s="17" t="s">
        <v>567</v>
      </c>
      <c r="E41" s="22">
        <v>1</v>
      </c>
    </row>
    <row r="42" spans="1:5">
      <c r="A42" s="17" t="s">
        <v>433</v>
      </c>
      <c r="B42" s="22">
        <v>2</v>
      </c>
      <c r="D42" s="17" t="s">
        <v>433</v>
      </c>
      <c r="E42" s="22">
        <v>1</v>
      </c>
    </row>
    <row r="43" spans="1:5">
      <c r="A43" s="17" t="s">
        <v>435</v>
      </c>
      <c r="B43" s="22">
        <v>2</v>
      </c>
      <c r="D43" s="17" t="s">
        <v>435</v>
      </c>
      <c r="E43" s="22">
        <v>1</v>
      </c>
    </row>
    <row r="44" spans="1:5">
      <c r="A44" s="17" t="s">
        <v>436</v>
      </c>
      <c r="B44" s="22">
        <v>2</v>
      </c>
      <c r="D44" s="17" t="s">
        <v>436</v>
      </c>
      <c r="E44" s="22">
        <v>1</v>
      </c>
    </row>
    <row r="45" spans="1:5">
      <c r="A45" s="17" t="s">
        <v>422</v>
      </c>
      <c r="B45" s="22">
        <v>2</v>
      </c>
      <c r="D45" s="17" t="s">
        <v>315</v>
      </c>
      <c r="E45" s="22">
        <v>1</v>
      </c>
    </row>
    <row r="46" spans="1:5">
      <c r="A46" s="17" t="s">
        <v>120</v>
      </c>
      <c r="B46" s="22">
        <v>2</v>
      </c>
      <c r="D46" s="17" t="s">
        <v>548</v>
      </c>
      <c r="E46" s="22">
        <v>1</v>
      </c>
    </row>
    <row r="47" spans="1:5">
      <c r="A47" s="17" t="s">
        <v>123</v>
      </c>
      <c r="B47" s="22">
        <v>2</v>
      </c>
      <c r="D47" s="17" t="s">
        <v>549</v>
      </c>
      <c r="E47" s="22">
        <v>1</v>
      </c>
    </row>
    <row r="48" spans="1:5">
      <c r="A48" s="25" t="s">
        <v>695</v>
      </c>
      <c r="B48" s="22">
        <v>2</v>
      </c>
      <c r="D48" s="17" t="s">
        <v>550</v>
      </c>
      <c r="E48" s="22">
        <v>1</v>
      </c>
    </row>
    <row r="49" spans="1:5">
      <c r="A49" s="17" t="s">
        <v>147</v>
      </c>
      <c r="B49" s="22">
        <v>2</v>
      </c>
      <c r="D49" s="17" t="s">
        <v>200</v>
      </c>
      <c r="E49" s="22">
        <v>1</v>
      </c>
    </row>
    <row r="50" spans="1:5">
      <c r="A50" s="17" t="s">
        <v>150</v>
      </c>
      <c r="B50" s="22">
        <v>2</v>
      </c>
      <c r="D50" s="17" t="s">
        <v>685</v>
      </c>
      <c r="E50" s="22">
        <v>1</v>
      </c>
    </row>
    <row r="51" spans="1:5">
      <c r="A51" s="17" t="s">
        <v>162</v>
      </c>
      <c r="B51" s="22">
        <v>2</v>
      </c>
      <c r="D51" s="17" t="s">
        <v>336</v>
      </c>
      <c r="E51" s="22">
        <v>1</v>
      </c>
    </row>
    <row r="52" spans="1:5">
      <c r="A52" s="17" t="s">
        <v>686</v>
      </c>
      <c r="B52" s="22">
        <v>2</v>
      </c>
      <c r="D52" s="17" t="s">
        <v>271</v>
      </c>
      <c r="E52" s="22">
        <v>3</v>
      </c>
    </row>
    <row r="53" spans="1:5">
      <c r="A53" s="17" t="s">
        <v>504</v>
      </c>
      <c r="B53" s="22">
        <v>2</v>
      </c>
      <c r="D53" s="17" t="s">
        <v>273</v>
      </c>
      <c r="E53" s="22">
        <v>2</v>
      </c>
    </row>
    <row r="54" spans="1:5">
      <c r="A54" s="17" t="s">
        <v>313</v>
      </c>
      <c r="B54" s="22">
        <v>2</v>
      </c>
      <c r="D54" s="17" t="s">
        <v>287</v>
      </c>
      <c r="E54" s="22">
        <v>2</v>
      </c>
    </row>
    <row r="55" spans="1:5">
      <c r="A55" s="17" t="s">
        <v>582</v>
      </c>
      <c r="B55" s="22">
        <v>2</v>
      </c>
      <c r="D55" s="17" t="s">
        <v>339</v>
      </c>
      <c r="E55" s="22">
        <v>1</v>
      </c>
    </row>
    <row r="56" spans="1:5">
      <c r="A56" s="17" t="s">
        <v>584</v>
      </c>
      <c r="B56" s="22">
        <v>2</v>
      </c>
      <c r="D56" s="17" t="s">
        <v>290</v>
      </c>
      <c r="E56" s="22">
        <v>2</v>
      </c>
    </row>
    <row r="57" spans="1:5">
      <c r="A57" s="17" t="s">
        <v>585</v>
      </c>
      <c r="B57" s="22">
        <v>2</v>
      </c>
      <c r="D57" s="17" t="s">
        <v>125</v>
      </c>
      <c r="E57" s="22">
        <v>1</v>
      </c>
    </row>
    <row r="58" spans="1:5">
      <c r="A58" s="17" t="s">
        <v>586</v>
      </c>
      <c r="B58" s="22">
        <v>2</v>
      </c>
      <c r="D58" s="17" t="s">
        <v>629</v>
      </c>
      <c r="E58" s="22">
        <v>1</v>
      </c>
    </row>
    <row r="59" spans="1:5">
      <c r="A59" s="17" t="s">
        <v>187</v>
      </c>
      <c r="B59" s="22">
        <v>2</v>
      </c>
      <c r="D59" s="17" t="s">
        <v>631</v>
      </c>
      <c r="E59" s="22">
        <v>1</v>
      </c>
    </row>
    <row r="60" spans="1:5">
      <c r="A60" s="17" t="s">
        <v>190</v>
      </c>
      <c r="B60" s="22">
        <v>2</v>
      </c>
      <c r="D60" s="17" t="s">
        <v>632</v>
      </c>
      <c r="E60" s="22">
        <v>2</v>
      </c>
    </row>
    <row r="61" spans="1:5">
      <c r="A61" s="17" t="s">
        <v>428</v>
      </c>
      <c r="B61" s="22">
        <v>2</v>
      </c>
      <c r="D61" s="17" t="s">
        <v>557</v>
      </c>
      <c r="E61" s="22">
        <v>1</v>
      </c>
    </row>
    <row r="62" spans="1:5">
      <c r="A62" s="17" t="s">
        <v>429</v>
      </c>
      <c r="B62" s="22">
        <v>2</v>
      </c>
      <c r="D62" s="17" t="s">
        <v>300</v>
      </c>
      <c r="E62" s="22">
        <v>1</v>
      </c>
    </row>
    <row r="63" spans="1:5">
      <c r="A63" s="17" t="s">
        <v>431</v>
      </c>
      <c r="B63" s="22">
        <v>2</v>
      </c>
      <c r="D63" s="17" t="s">
        <v>303</v>
      </c>
      <c r="E63" s="22">
        <v>1</v>
      </c>
    </row>
    <row r="64" spans="1:5">
      <c r="A64" s="17" t="s">
        <v>245</v>
      </c>
      <c r="B64" s="22">
        <v>2</v>
      </c>
      <c r="D64" s="17" t="s">
        <v>588</v>
      </c>
      <c r="E64" s="22">
        <v>1</v>
      </c>
    </row>
    <row r="65" spans="1:5">
      <c r="A65" s="17" t="s">
        <v>100</v>
      </c>
      <c r="B65" s="22">
        <v>2</v>
      </c>
      <c r="D65" s="17" t="s">
        <v>590</v>
      </c>
      <c r="E65" s="22">
        <v>1</v>
      </c>
    </row>
    <row r="66" spans="1:5">
      <c r="A66" s="17" t="s">
        <v>102</v>
      </c>
      <c r="B66" s="22">
        <v>2</v>
      </c>
      <c r="D66" s="17" t="s">
        <v>546</v>
      </c>
      <c r="E66" s="22">
        <v>1</v>
      </c>
    </row>
    <row r="67" spans="1:5">
      <c r="A67" s="17" t="s">
        <v>67</v>
      </c>
      <c r="B67" s="22">
        <v>2</v>
      </c>
      <c r="D67" s="17" t="s">
        <v>152</v>
      </c>
      <c r="E67" s="22">
        <v>1</v>
      </c>
    </row>
    <row r="68" spans="1:5">
      <c r="A68" s="23" t="s">
        <v>324</v>
      </c>
      <c r="B68" s="22">
        <v>2</v>
      </c>
      <c r="D68" s="17" t="s">
        <v>620</v>
      </c>
      <c r="E68" s="22">
        <v>1</v>
      </c>
    </row>
    <row r="69" spans="1:5">
      <c r="A69" s="24" t="s">
        <v>689</v>
      </c>
      <c r="B69" s="22">
        <v>2</v>
      </c>
      <c r="D69" s="17" t="s">
        <v>528</v>
      </c>
      <c r="E69" s="22">
        <v>1</v>
      </c>
    </row>
    <row r="70" spans="1:5">
      <c r="A70" s="17" t="s">
        <v>50</v>
      </c>
      <c r="B70" s="22">
        <v>2</v>
      </c>
      <c r="D70" s="17" t="s">
        <v>530</v>
      </c>
      <c r="E70" s="22">
        <v>1</v>
      </c>
    </row>
    <row r="71" spans="1:5">
      <c r="A71" s="17" t="s">
        <v>51</v>
      </c>
      <c r="B71" s="22">
        <v>2</v>
      </c>
      <c r="D71" s="17" t="s">
        <v>478</v>
      </c>
      <c r="E71" s="22">
        <v>1</v>
      </c>
    </row>
    <row r="72" spans="1:5">
      <c r="A72" s="17"/>
      <c r="B72" s="22"/>
      <c r="D72" s="17" t="s">
        <v>480</v>
      </c>
      <c r="E72" s="22">
        <v>1</v>
      </c>
    </row>
    <row r="73" spans="1:5">
      <c r="A73" s="17"/>
      <c r="B73" s="22"/>
      <c r="D73" s="17" t="s">
        <v>481</v>
      </c>
      <c r="E73" s="22">
        <v>1</v>
      </c>
    </row>
    <row r="74" spans="1:5">
      <c r="A74" s="17"/>
      <c r="B74" s="22"/>
      <c r="D74" s="17" t="s">
        <v>482</v>
      </c>
      <c r="E74" s="22">
        <v>1</v>
      </c>
    </row>
    <row r="75" spans="1:5">
      <c r="A75" s="17"/>
      <c r="B75" s="22"/>
      <c r="D75" s="17" t="s">
        <v>571</v>
      </c>
      <c r="E75" s="22">
        <v>1</v>
      </c>
    </row>
    <row r="76" spans="1:5">
      <c r="A76" s="17"/>
      <c r="B76" s="22"/>
      <c r="D76" s="17" t="s">
        <v>572</v>
      </c>
      <c r="E76" s="22">
        <v>1</v>
      </c>
    </row>
    <row r="77" spans="1:5">
      <c r="A77" s="17"/>
      <c r="B77" s="22"/>
      <c r="D77" s="17" t="s">
        <v>282</v>
      </c>
      <c r="E77" s="22">
        <v>2</v>
      </c>
    </row>
    <row r="78" spans="1:5">
      <c r="A78" s="17"/>
      <c r="B78" s="22"/>
      <c r="D78" s="17" t="s">
        <v>285</v>
      </c>
      <c r="E78" s="22">
        <v>2</v>
      </c>
    </row>
    <row r="79" spans="1:5">
      <c r="A79" s="17"/>
      <c r="B79" s="22"/>
      <c r="D79" s="17" t="s">
        <v>532</v>
      </c>
      <c r="E79" s="22">
        <v>1</v>
      </c>
    </row>
    <row r="80" spans="1:5">
      <c r="A80" s="17"/>
      <c r="B80" s="22"/>
      <c r="D80" s="17" t="s">
        <v>534</v>
      </c>
      <c r="E80" s="22">
        <v>1</v>
      </c>
    </row>
    <row r="81" spans="1:5">
      <c r="A81" s="17"/>
      <c r="B81" s="22"/>
      <c r="D81" s="17" t="s">
        <v>650</v>
      </c>
      <c r="E81" s="22">
        <v>1</v>
      </c>
    </row>
    <row r="82" spans="1:5">
      <c r="A82" s="17"/>
      <c r="B82" s="22"/>
      <c r="D82" s="17" t="s">
        <v>237</v>
      </c>
      <c r="E82" s="22">
        <v>2</v>
      </c>
    </row>
    <row r="83" spans="1:5">
      <c r="A83" s="17"/>
      <c r="B83" s="22"/>
      <c r="D83" s="17" t="s">
        <v>439</v>
      </c>
      <c r="E83" s="22">
        <v>1</v>
      </c>
    </row>
    <row r="84" spans="1:5">
      <c r="A84" s="17"/>
      <c r="B84" s="22"/>
      <c r="D84" s="17" t="s">
        <v>678</v>
      </c>
      <c r="E84" s="22">
        <v>1</v>
      </c>
    </row>
    <row r="85" spans="1:5">
      <c r="A85" s="17"/>
      <c r="B85" s="22"/>
      <c r="D85" s="17" t="s">
        <v>679</v>
      </c>
      <c r="E85" s="22">
        <v>1</v>
      </c>
    </row>
    <row r="86" spans="1:5">
      <c r="A86" s="17"/>
      <c r="B86" s="22"/>
      <c r="D86" s="17" t="s">
        <v>274</v>
      </c>
      <c r="E86" s="22">
        <v>3</v>
      </c>
    </row>
    <row r="87" spans="1:5">
      <c r="A87" s="17"/>
      <c r="B87" s="22"/>
      <c r="D87" s="17" t="s">
        <v>267</v>
      </c>
      <c r="E87" s="22">
        <v>3</v>
      </c>
    </row>
    <row r="88" spans="1:5">
      <c r="A88" s="17"/>
      <c r="B88" s="22"/>
      <c r="D88" s="17" t="s">
        <v>245</v>
      </c>
      <c r="E88" s="22">
        <v>1</v>
      </c>
    </row>
    <row r="89" spans="1:5">
      <c r="A89" s="17"/>
      <c r="B89" s="22"/>
      <c r="D89" s="17" t="s">
        <v>248</v>
      </c>
      <c r="E89" s="22">
        <v>1</v>
      </c>
    </row>
    <row r="90" spans="1:5">
      <c r="A90" s="17"/>
      <c r="B90" s="22"/>
      <c r="D90" s="17" t="s">
        <v>251</v>
      </c>
      <c r="E90" s="22">
        <v>1</v>
      </c>
    </row>
    <row r="91" spans="1:5">
      <c r="A91" s="17"/>
      <c r="B91" s="22"/>
      <c r="D91" s="23" t="s">
        <v>696</v>
      </c>
      <c r="E91" s="22">
        <v>1</v>
      </c>
    </row>
    <row r="92" spans="1:5">
      <c r="A92" s="17"/>
      <c r="B92" s="22"/>
      <c r="D92" s="17" t="s">
        <v>258</v>
      </c>
      <c r="E92" s="22">
        <v>3</v>
      </c>
    </row>
    <row r="93" spans="1:5">
      <c r="A93" s="17"/>
      <c r="B93" s="22"/>
      <c r="D93" s="17" t="s">
        <v>260</v>
      </c>
      <c r="E93" s="22">
        <v>3</v>
      </c>
    </row>
    <row r="94" spans="1:5">
      <c r="A94" s="17"/>
      <c r="B94" s="22"/>
      <c r="D94" s="17" t="s">
        <v>230</v>
      </c>
      <c r="E94" s="22">
        <v>2</v>
      </c>
    </row>
    <row r="95" spans="1:5">
      <c r="A95" s="17"/>
      <c r="B95" s="22"/>
      <c r="D95" s="17" t="s">
        <v>174</v>
      </c>
      <c r="E95" s="22">
        <v>5</v>
      </c>
    </row>
    <row r="96" spans="1:5">
      <c r="A96" s="17"/>
      <c r="B96" s="22"/>
      <c r="D96" s="17" t="s">
        <v>175</v>
      </c>
      <c r="E96" s="22">
        <v>5</v>
      </c>
    </row>
    <row r="97" spans="1:5">
      <c r="A97" s="17"/>
      <c r="B97" s="22"/>
      <c r="D97" s="17" t="s">
        <v>447</v>
      </c>
      <c r="E97" s="22">
        <v>2</v>
      </c>
    </row>
    <row r="98" spans="1:5">
      <c r="A98" s="23"/>
      <c r="B98" s="22"/>
      <c r="D98" s="17" t="s">
        <v>448</v>
      </c>
      <c r="E98" s="22">
        <v>2</v>
      </c>
    </row>
    <row r="99" spans="1:5">
      <c r="A99" s="17"/>
      <c r="B99" s="22"/>
      <c r="D99" s="17" t="s">
        <v>50</v>
      </c>
      <c r="E99" s="22">
        <v>2</v>
      </c>
    </row>
    <row r="100" spans="1:5">
      <c r="A100" s="17"/>
      <c r="B100" s="22"/>
      <c r="D100" s="17" t="s">
        <v>178</v>
      </c>
      <c r="E100" s="22">
        <v>3</v>
      </c>
    </row>
    <row r="101" spans="1:5">
      <c r="A101" s="17"/>
      <c r="B101" s="22"/>
    </row>
    <row r="102" spans="1:5">
      <c r="A102" s="17"/>
      <c r="B102" s="22"/>
    </row>
    <row r="103" spans="1:5">
      <c r="A103" s="17"/>
      <c r="B103" s="22"/>
    </row>
    <row r="104" spans="1:5">
      <c r="A104" s="17"/>
      <c r="B104" s="22"/>
    </row>
    <row r="105" spans="1:5">
      <c r="A105" s="17"/>
      <c r="B105" s="22"/>
    </row>
    <row r="106" spans="1:5">
      <c r="A106" s="17"/>
      <c r="B106" s="22"/>
    </row>
    <row r="107" spans="1:5">
      <c r="A107" s="17"/>
      <c r="B107" s="22"/>
    </row>
    <row r="108" spans="1:5">
      <c r="A108" s="17"/>
      <c r="B108" s="22"/>
    </row>
    <row r="109" spans="1:5">
      <c r="A109" s="17"/>
      <c r="B109" s="22"/>
    </row>
    <row r="110" spans="1:5">
      <c r="A110" s="17"/>
      <c r="B110" s="22"/>
    </row>
    <row r="111" spans="1:5">
      <c r="A111" s="17"/>
      <c r="B111" s="22"/>
    </row>
    <row r="112" spans="1:5">
      <c r="A112" s="17"/>
      <c r="B112" s="22"/>
    </row>
    <row r="113" spans="1:2">
      <c r="A113" s="17"/>
      <c r="B113" s="22"/>
    </row>
    <row r="114" spans="1:2">
      <c r="A114" s="17"/>
      <c r="B114" s="22"/>
    </row>
    <row r="115" spans="1:2">
      <c r="A115" s="17"/>
      <c r="B115" s="22"/>
    </row>
    <row r="116" spans="1:2">
      <c r="A116" s="17"/>
      <c r="B116" s="22"/>
    </row>
    <row r="117" spans="1:2">
      <c r="A117" s="17"/>
      <c r="B117" s="22"/>
    </row>
    <row r="118" spans="1:2">
      <c r="A118" s="17"/>
      <c r="B118" s="22"/>
    </row>
    <row r="119" spans="1:2">
      <c r="A119" s="17"/>
      <c r="B119" s="22"/>
    </row>
    <row r="120" spans="1:2">
      <c r="A120" s="17"/>
      <c r="B120" s="22"/>
    </row>
    <row r="121" spans="1:2">
      <c r="A121" s="17"/>
      <c r="B121" s="22"/>
    </row>
    <row r="122" spans="1:2">
      <c r="A122" s="17"/>
      <c r="B122" s="22"/>
    </row>
    <row r="123" spans="1:2">
      <c r="A123" s="17"/>
      <c r="B123" s="22"/>
    </row>
    <row r="124" spans="1:2">
      <c r="A124" s="17"/>
      <c r="B124" s="22"/>
    </row>
    <row r="125" spans="1:2">
      <c r="A125" s="17"/>
      <c r="B125" s="22"/>
    </row>
  </sheetData>
  <phoneticPr fontId="5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7E1E41-8029-1540-8157-878D1A83DA7C}">
          <x14:formula1>
            <xm:f>Data!$F$2:$F$9</xm:f>
          </x14:formula1>
          <xm:sqref>G2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FB7BF-4418-4A41-AA3C-DBCAB227E020}">
  <sheetPr codeName="Sheet5"/>
  <dimension ref="A1:G25"/>
  <sheetViews>
    <sheetView workbookViewId="0">
      <selection activeCell="A11" sqref="A11"/>
    </sheetView>
  </sheetViews>
  <sheetFormatPr defaultColWidth="11.42578125" defaultRowHeight="12.75"/>
  <sheetData>
    <row r="1" spans="1:7">
      <c r="A1" s="8" t="s">
        <v>23</v>
      </c>
      <c r="B1" s="8" t="s">
        <v>24</v>
      </c>
      <c r="C1" s="1"/>
      <c r="D1" s="8" t="s">
        <v>25</v>
      </c>
      <c r="E1" s="8" t="s">
        <v>24</v>
      </c>
      <c r="F1" s="22"/>
      <c r="G1" s="8" t="s">
        <v>13</v>
      </c>
    </row>
    <row r="2" spans="1:7">
      <c r="A2" s="17" t="s">
        <v>67</v>
      </c>
      <c r="B2" s="22">
        <v>1</v>
      </c>
      <c r="C2" s="22"/>
      <c r="D2" s="17" t="s">
        <v>44</v>
      </c>
      <c r="E2" s="22">
        <v>2</v>
      </c>
      <c r="F2" s="22"/>
      <c r="G2" s="17" t="s">
        <v>370</v>
      </c>
    </row>
    <row r="3" spans="1:7">
      <c r="A3" s="17" t="s">
        <v>71</v>
      </c>
      <c r="B3" s="22">
        <v>1</v>
      </c>
      <c r="C3" s="22"/>
      <c r="D3" s="17" t="s">
        <v>48</v>
      </c>
      <c r="E3" s="22">
        <v>2</v>
      </c>
      <c r="F3" s="22"/>
      <c r="G3" s="22"/>
    </row>
    <row r="4" spans="1:7">
      <c r="A4" s="17" t="s">
        <v>75</v>
      </c>
      <c r="B4" s="22">
        <v>1</v>
      </c>
      <c r="C4" s="22"/>
      <c r="D4" s="17" t="s">
        <v>50</v>
      </c>
      <c r="E4" s="22">
        <v>2</v>
      </c>
      <c r="F4" s="22"/>
      <c r="G4" s="22"/>
    </row>
    <row r="5" spans="1:7">
      <c r="A5" s="17" t="s">
        <v>104</v>
      </c>
      <c r="B5" s="22">
        <v>2</v>
      </c>
      <c r="C5" s="22"/>
      <c r="D5" s="17" t="s">
        <v>51</v>
      </c>
      <c r="E5" s="22">
        <v>2</v>
      </c>
      <c r="F5" s="22"/>
      <c r="G5" s="22"/>
    </row>
    <row r="6" spans="1:7">
      <c r="A6" s="17" t="s">
        <v>107</v>
      </c>
      <c r="B6" s="22">
        <v>2</v>
      </c>
      <c r="C6" s="22"/>
      <c r="D6" s="17" t="s">
        <v>56</v>
      </c>
      <c r="E6" s="22">
        <v>2</v>
      </c>
      <c r="F6" s="22"/>
      <c r="G6" s="22"/>
    </row>
    <row r="7" spans="1:7">
      <c r="A7" s="17" t="s">
        <v>109</v>
      </c>
      <c r="B7" s="22">
        <v>2</v>
      </c>
      <c r="C7" s="22"/>
      <c r="D7" s="17" t="s">
        <v>62</v>
      </c>
      <c r="E7" s="22">
        <v>2</v>
      </c>
      <c r="F7" s="22"/>
      <c r="G7" s="22"/>
    </row>
    <row r="8" spans="1:7">
      <c r="A8" s="17" t="s">
        <v>111</v>
      </c>
      <c r="B8" s="22">
        <v>2</v>
      </c>
      <c r="C8" s="22"/>
      <c r="D8" s="17" t="s">
        <v>67</v>
      </c>
      <c r="E8" s="22">
        <v>2</v>
      </c>
      <c r="F8" s="22"/>
      <c r="G8" s="22"/>
    </row>
    <row r="9" spans="1:7">
      <c r="A9" s="17" t="s">
        <v>169</v>
      </c>
      <c r="B9" s="22">
        <v>3</v>
      </c>
      <c r="C9" s="22"/>
      <c r="D9" s="17" t="s">
        <v>71</v>
      </c>
      <c r="E9" s="22">
        <v>2</v>
      </c>
      <c r="F9" s="22"/>
      <c r="G9" s="22"/>
    </row>
    <row r="10" spans="1:7">
      <c r="A10" s="17" t="s">
        <v>172</v>
      </c>
      <c r="B10" s="22">
        <v>3</v>
      </c>
      <c r="C10" s="22"/>
      <c r="D10" s="17" t="s">
        <v>75</v>
      </c>
      <c r="E10" s="22">
        <v>2</v>
      </c>
      <c r="F10" s="22"/>
      <c r="G10" s="22"/>
    </row>
    <row r="11" spans="1:7">
      <c r="A11" s="17" t="s">
        <v>174</v>
      </c>
      <c r="B11" s="22">
        <v>3</v>
      </c>
      <c r="C11" s="22"/>
      <c r="D11" s="17" t="s">
        <v>79</v>
      </c>
      <c r="E11" s="22">
        <v>2</v>
      </c>
      <c r="F11" s="22"/>
      <c r="G11" s="22"/>
    </row>
    <row r="12" spans="1:7">
      <c r="A12" s="17" t="s">
        <v>175</v>
      </c>
      <c r="B12" s="22">
        <v>3</v>
      </c>
      <c r="C12" s="22"/>
      <c r="D12" s="17" t="s">
        <v>83</v>
      </c>
      <c r="E12" s="22">
        <v>2</v>
      </c>
      <c r="F12" s="22"/>
      <c r="G12" s="22"/>
    </row>
    <row r="13" spans="1:7">
      <c r="A13" s="17" t="s">
        <v>178</v>
      </c>
      <c r="B13" s="22">
        <v>3</v>
      </c>
      <c r="C13" s="22"/>
      <c r="D13" s="17" t="s">
        <v>85</v>
      </c>
      <c r="E13" s="22">
        <v>2</v>
      </c>
      <c r="F13" s="22"/>
      <c r="G13" s="22"/>
    </row>
    <row r="14" spans="1:7">
      <c r="A14" s="17" t="s">
        <v>193</v>
      </c>
      <c r="B14" s="22">
        <v>3</v>
      </c>
      <c r="C14" s="22"/>
      <c r="D14" s="17" t="s">
        <v>88</v>
      </c>
      <c r="E14" s="22">
        <v>2</v>
      </c>
      <c r="F14" s="22"/>
      <c r="G14" s="22"/>
    </row>
    <row r="15" spans="1:7">
      <c r="A15" s="17" t="s">
        <v>195</v>
      </c>
      <c r="B15" s="22">
        <v>3</v>
      </c>
      <c r="C15" s="22"/>
      <c r="D15" s="17" t="s">
        <v>91</v>
      </c>
      <c r="E15" s="22">
        <v>2</v>
      </c>
      <c r="F15" s="22"/>
      <c r="G15" s="22"/>
    </row>
    <row r="16" spans="1:7">
      <c r="A16" s="17" t="s">
        <v>197</v>
      </c>
      <c r="B16" s="22">
        <v>3</v>
      </c>
      <c r="C16" s="22"/>
      <c r="D16" s="17" t="s">
        <v>95</v>
      </c>
      <c r="E16" s="22">
        <v>2</v>
      </c>
      <c r="F16" s="22"/>
      <c r="G16" s="22"/>
    </row>
    <row r="17" spans="1:7">
      <c r="A17" s="17" t="s">
        <v>235</v>
      </c>
      <c r="B17" s="22">
        <v>1</v>
      </c>
      <c r="C17" s="22"/>
      <c r="D17" s="17" t="s">
        <v>98</v>
      </c>
      <c r="E17" s="22">
        <v>2</v>
      </c>
      <c r="F17" s="22"/>
      <c r="G17" s="22"/>
    </row>
    <row r="18" spans="1:7">
      <c r="A18" s="17" t="s">
        <v>237</v>
      </c>
      <c r="B18" s="22">
        <v>1</v>
      </c>
      <c r="C18" s="22"/>
      <c r="D18" s="17" t="s">
        <v>100</v>
      </c>
      <c r="E18" s="22">
        <v>2</v>
      </c>
      <c r="F18" s="22"/>
      <c r="G18" s="22"/>
    </row>
    <row r="19" spans="1:7">
      <c r="A19" s="17" t="s">
        <v>240</v>
      </c>
      <c r="B19" s="22">
        <v>1</v>
      </c>
      <c r="C19" s="22"/>
      <c r="D19" s="17" t="s">
        <v>102</v>
      </c>
      <c r="E19" s="22">
        <v>2</v>
      </c>
      <c r="F19" s="22"/>
      <c r="G19" s="22"/>
    </row>
    <row r="20" spans="1:7">
      <c r="A20" s="17" t="s">
        <v>243</v>
      </c>
      <c r="B20" s="22">
        <v>1</v>
      </c>
      <c r="C20" s="22"/>
      <c r="D20" s="22"/>
      <c r="E20" s="22"/>
      <c r="F20" s="22"/>
      <c r="G20" s="22"/>
    </row>
    <row r="21" spans="1:7">
      <c r="A21" s="17" t="s">
        <v>245</v>
      </c>
      <c r="B21" s="22">
        <v>1</v>
      </c>
      <c r="C21" s="22"/>
      <c r="D21" s="22"/>
      <c r="E21" s="22"/>
      <c r="F21" s="22"/>
      <c r="G21" s="22"/>
    </row>
    <row r="22" spans="1:7">
      <c r="A22" s="17" t="s">
        <v>248</v>
      </c>
      <c r="B22" s="22">
        <v>1</v>
      </c>
      <c r="C22" s="22"/>
      <c r="D22" s="22"/>
      <c r="E22" s="22"/>
      <c r="F22" s="22"/>
      <c r="G22" s="22"/>
    </row>
    <row r="23" spans="1:7">
      <c r="A23" s="17" t="s">
        <v>251</v>
      </c>
      <c r="B23" s="22">
        <v>1</v>
      </c>
      <c r="C23" s="22"/>
      <c r="D23" s="22"/>
      <c r="E23" s="22"/>
      <c r="F23" s="22"/>
      <c r="G23" s="22"/>
    </row>
    <row r="24" spans="1:7">
      <c r="A24" s="17" t="s">
        <v>254</v>
      </c>
      <c r="B24" s="22">
        <v>1</v>
      </c>
      <c r="C24" s="22"/>
      <c r="D24" s="22"/>
      <c r="E24" s="22"/>
      <c r="F24" s="22"/>
      <c r="G24" s="22"/>
    </row>
    <row r="25" spans="1:7">
      <c r="A25" s="17" t="s">
        <v>257</v>
      </c>
      <c r="B25" s="22">
        <v>1</v>
      </c>
      <c r="C25" s="22"/>
      <c r="D25" s="22"/>
      <c r="E25" s="22"/>
      <c r="F25" s="22"/>
      <c r="G25" s="22"/>
    </row>
  </sheetData>
  <phoneticPr fontId="5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F9A0F7-E70D-F444-A1C0-BAA0A150529C}">
          <x14:formula1>
            <xm:f>Data!$F$2:$F$9</xm:f>
          </x14:formula1>
          <xm:sqref>G2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F57D9-71EE-9A45-A9DA-23E439255AD7}">
  <sheetPr codeName="Sheet6"/>
  <dimension ref="A1:G24"/>
  <sheetViews>
    <sheetView workbookViewId="0">
      <selection activeCell="M43" sqref="M43"/>
    </sheetView>
  </sheetViews>
  <sheetFormatPr defaultColWidth="11.42578125" defaultRowHeight="12.75"/>
  <sheetData>
    <row r="1" spans="1:7">
      <c r="A1" s="8" t="s">
        <v>23</v>
      </c>
      <c r="B1" s="8" t="s">
        <v>24</v>
      </c>
      <c r="C1" s="1"/>
      <c r="D1" s="8" t="s">
        <v>25</v>
      </c>
      <c r="E1" s="8" t="s">
        <v>24</v>
      </c>
      <c r="F1" s="22"/>
      <c r="G1" s="8" t="s">
        <v>13</v>
      </c>
    </row>
    <row r="2" spans="1:7">
      <c r="A2" s="17" t="s">
        <v>258</v>
      </c>
      <c r="B2" s="22">
        <v>3</v>
      </c>
      <c r="C2" s="22"/>
      <c r="D2" s="17" t="s">
        <v>405</v>
      </c>
      <c r="E2" s="22">
        <v>3</v>
      </c>
      <c r="F2" s="22"/>
      <c r="G2" s="17" t="s">
        <v>295</v>
      </c>
    </row>
    <row r="3" spans="1:7">
      <c r="A3" s="17" t="s">
        <v>260</v>
      </c>
      <c r="B3" s="22">
        <v>3</v>
      </c>
      <c r="C3" s="22"/>
      <c r="D3" s="17" t="s">
        <v>408</v>
      </c>
      <c r="E3" s="22">
        <v>3</v>
      </c>
      <c r="F3" s="22"/>
      <c r="G3" s="22"/>
    </row>
    <row r="4" spans="1:7">
      <c r="A4" s="17" t="s">
        <v>262</v>
      </c>
      <c r="B4" s="22">
        <v>3</v>
      </c>
      <c r="C4" s="22"/>
      <c r="D4" s="17" t="s">
        <v>411</v>
      </c>
      <c r="E4" s="22">
        <v>3</v>
      </c>
      <c r="F4" s="22"/>
      <c r="G4" s="22"/>
    </row>
    <row r="5" spans="1:7">
      <c r="A5" s="17" t="s">
        <v>264</v>
      </c>
      <c r="B5" s="22">
        <v>3</v>
      </c>
      <c r="C5" s="22"/>
      <c r="D5" s="17" t="s">
        <v>413</v>
      </c>
      <c r="E5" s="22">
        <v>3</v>
      </c>
      <c r="F5" s="22"/>
      <c r="G5" s="22"/>
    </row>
    <row r="6" spans="1:7">
      <c r="A6" s="17" t="s">
        <v>267</v>
      </c>
      <c r="B6" s="22">
        <v>3</v>
      </c>
      <c r="C6" s="22"/>
      <c r="D6" s="17" t="s">
        <v>415</v>
      </c>
      <c r="E6" s="22">
        <v>3</v>
      </c>
      <c r="F6" s="22"/>
      <c r="G6" s="22"/>
    </row>
    <row r="7" spans="1:7">
      <c r="A7" s="17" t="s">
        <v>271</v>
      </c>
      <c r="B7" s="22">
        <v>2</v>
      </c>
      <c r="C7" s="22"/>
      <c r="D7" s="17" t="s">
        <v>416</v>
      </c>
      <c r="E7" s="22">
        <v>3</v>
      </c>
      <c r="F7" s="22"/>
      <c r="G7" s="22"/>
    </row>
    <row r="8" spans="1:7">
      <c r="A8" s="17" t="s">
        <v>273</v>
      </c>
      <c r="B8" s="22">
        <v>2</v>
      </c>
      <c r="C8" s="22"/>
      <c r="D8" s="17" t="s">
        <v>418</v>
      </c>
      <c r="E8" s="22">
        <v>3</v>
      </c>
      <c r="F8" s="22"/>
      <c r="G8" s="22"/>
    </row>
    <row r="9" spans="1:7">
      <c r="A9" s="17" t="s">
        <v>274</v>
      </c>
      <c r="B9" s="22">
        <v>3</v>
      </c>
      <c r="C9" s="22"/>
      <c r="D9" s="17" t="s">
        <v>420</v>
      </c>
      <c r="E9" s="22">
        <v>3</v>
      </c>
      <c r="F9" s="22"/>
      <c r="G9" s="22"/>
    </row>
    <row r="10" spans="1:7">
      <c r="A10" s="17" t="s">
        <v>277</v>
      </c>
      <c r="B10" s="22">
        <v>3</v>
      </c>
      <c r="C10" s="22"/>
      <c r="D10" s="17" t="s">
        <v>422</v>
      </c>
      <c r="E10" s="22">
        <v>2</v>
      </c>
      <c r="F10" s="22"/>
      <c r="G10" s="22"/>
    </row>
    <row r="11" spans="1:7">
      <c r="A11" s="17" t="s">
        <v>280</v>
      </c>
      <c r="B11" s="22">
        <v>1</v>
      </c>
      <c r="C11" s="22"/>
      <c r="D11" s="17" t="s">
        <v>426</v>
      </c>
      <c r="E11" s="22">
        <v>2</v>
      </c>
      <c r="F11" s="22"/>
      <c r="G11" s="22"/>
    </row>
    <row r="12" spans="1:7">
      <c r="A12" s="17" t="s">
        <v>282</v>
      </c>
      <c r="B12" s="22">
        <v>1</v>
      </c>
      <c r="C12" s="22"/>
      <c r="D12" s="17">
        <v>687638</v>
      </c>
      <c r="E12" s="22">
        <v>2</v>
      </c>
      <c r="F12" s="22"/>
      <c r="G12" s="22"/>
    </row>
    <row r="13" spans="1:7">
      <c r="A13" s="17" t="s">
        <v>285</v>
      </c>
      <c r="B13" s="22">
        <v>1</v>
      </c>
      <c r="C13" s="22"/>
      <c r="D13" s="17" t="s">
        <v>428</v>
      </c>
      <c r="E13" s="22">
        <v>2</v>
      </c>
      <c r="F13" s="22"/>
      <c r="G13" s="22"/>
    </row>
    <row r="14" spans="1:7">
      <c r="A14" s="17" t="s">
        <v>287</v>
      </c>
      <c r="B14" s="22">
        <v>1</v>
      </c>
      <c r="C14" s="22"/>
      <c r="D14" s="17" t="s">
        <v>429</v>
      </c>
      <c r="E14" s="22">
        <v>2</v>
      </c>
      <c r="F14" s="22"/>
      <c r="G14" s="22"/>
    </row>
    <row r="15" spans="1:7">
      <c r="A15" s="17" t="s">
        <v>290</v>
      </c>
      <c r="B15" s="22">
        <v>1</v>
      </c>
      <c r="C15" s="22"/>
      <c r="D15" s="17" t="s">
        <v>431</v>
      </c>
      <c r="E15" s="22">
        <v>2</v>
      </c>
      <c r="F15" s="22"/>
      <c r="G15" s="22"/>
    </row>
    <row r="16" spans="1:7">
      <c r="A16" s="17" t="s">
        <v>292</v>
      </c>
      <c r="B16" s="22">
        <v>1</v>
      </c>
      <c r="C16" s="22"/>
      <c r="D16" s="17" t="s">
        <v>433</v>
      </c>
      <c r="E16" s="22">
        <v>2</v>
      </c>
      <c r="F16" s="22"/>
      <c r="G16" s="22"/>
    </row>
    <row r="17" spans="1:7">
      <c r="A17" s="17" t="s">
        <v>318</v>
      </c>
      <c r="B17" s="22">
        <v>2</v>
      </c>
      <c r="C17" s="22"/>
      <c r="D17" s="17" t="s">
        <v>435</v>
      </c>
      <c r="E17" s="22">
        <v>2</v>
      </c>
      <c r="F17" s="22"/>
      <c r="G17" s="22"/>
    </row>
    <row r="18" spans="1:7">
      <c r="A18" s="17" t="s">
        <v>321</v>
      </c>
      <c r="B18" s="22">
        <v>2</v>
      </c>
      <c r="C18" s="22"/>
      <c r="D18" s="17" t="s">
        <v>436</v>
      </c>
      <c r="E18" s="22">
        <v>2</v>
      </c>
      <c r="F18" s="22"/>
      <c r="G18" s="22"/>
    </row>
    <row r="19" spans="1:7">
      <c r="A19" s="17" t="s">
        <v>230</v>
      </c>
      <c r="B19" s="22">
        <v>2</v>
      </c>
      <c r="C19" s="22"/>
      <c r="D19" s="22"/>
      <c r="E19" s="22"/>
      <c r="F19" s="22"/>
      <c r="G19" s="22"/>
    </row>
    <row r="20" spans="1:7">
      <c r="A20" s="17" t="s">
        <v>174</v>
      </c>
      <c r="B20" s="22">
        <v>2</v>
      </c>
      <c r="C20" s="22"/>
      <c r="D20" s="22"/>
      <c r="E20" s="22"/>
      <c r="F20" s="22"/>
      <c r="G20" s="22"/>
    </row>
    <row r="21" spans="1:7">
      <c r="A21" s="17" t="s">
        <v>175</v>
      </c>
      <c r="B21" s="22">
        <v>2</v>
      </c>
      <c r="C21" s="22"/>
      <c r="D21" s="22"/>
      <c r="E21" s="22"/>
      <c r="F21" s="22"/>
      <c r="G21" s="22"/>
    </row>
    <row r="22" spans="1:7">
      <c r="A22" s="17" t="s">
        <v>447</v>
      </c>
      <c r="B22" s="22">
        <v>2</v>
      </c>
      <c r="C22" s="22"/>
      <c r="D22" s="22"/>
      <c r="E22" s="22"/>
      <c r="F22" s="22"/>
      <c r="G22" s="22"/>
    </row>
    <row r="23" spans="1:7">
      <c r="A23" s="17" t="s">
        <v>448</v>
      </c>
      <c r="B23" s="22">
        <v>2</v>
      </c>
      <c r="C23" s="22"/>
      <c r="D23" s="22"/>
      <c r="E23" s="22"/>
      <c r="F23" s="22"/>
      <c r="G23" s="22"/>
    </row>
    <row r="24" spans="1:7">
      <c r="A24" s="17" t="s">
        <v>50</v>
      </c>
      <c r="B24" s="22">
        <v>2</v>
      </c>
      <c r="C24" s="22"/>
      <c r="D24" s="22"/>
      <c r="E24" s="22"/>
      <c r="F24" s="22"/>
      <c r="G24" s="22"/>
    </row>
  </sheetData>
  <phoneticPr fontId="5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96658A-6FC1-9942-9180-B40CF47D06B7}">
          <x14:formula1>
            <xm:f>Data!$F$2:$F$9</xm:f>
          </x14:formula1>
          <xm:sqref>G2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67AF-1FCA-7C4E-877A-704B8719EFF2}">
  <sheetPr codeName="Sheet7"/>
  <dimension ref="A1:I11"/>
  <sheetViews>
    <sheetView zoomScale="145" zoomScaleNormal="145" workbookViewId="0">
      <selection activeCell="C2" sqref="C2"/>
    </sheetView>
  </sheetViews>
  <sheetFormatPr defaultColWidth="11.42578125" defaultRowHeight="12.75"/>
  <sheetData>
    <row r="1" spans="1:9" ht="13.5" thickBot="1">
      <c r="A1" s="69" t="s">
        <v>764</v>
      </c>
      <c r="B1" s="69"/>
      <c r="C1" s="17"/>
      <c r="D1" s="69" t="s">
        <v>748</v>
      </c>
      <c r="E1" s="69" t="s">
        <v>749</v>
      </c>
      <c r="F1" s="69" t="s">
        <v>750</v>
      </c>
      <c r="G1" s="22"/>
      <c r="H1" s="22" t="s">
        <v>751</v>
      </c>
      <c r="I1" s="70" t="s">
        <v>731</v>
      </c>
    </row>
    <row r="2" spans="1:9">
      <c r="A2" s="98" t="s">
        <v>781</v>
      </c>
      <c r="B2" s="17"/>
      <c r="C2" s="17" t="s">
        <v>832</v>
      </c>
      <c r="D2" s="17" t="s">
        <v>741</v>
      </c>
      <c r="E2" s="17" t="s">
        <v>780</v>
      </c>
      <c r="F2" s="17" t="s">
        <v>752</v>
      </c>
      <c r="G2" s="22"/>
      <c r="H2" s="22"/>
      <c r="I2" s="22"/>
    </row>
    <row r="3" spans="1:9">
      <c r="A3" s="98" t="s">
        <v>782</v>
      </c>
      <c r="B3" s="17"/>
      <c r="C3" s="17" t="s">
        <v>833</v>
      </c>
      <c r="D3" s="17" t="s">
        <v>753</v>
      </c>
      <c r="E3" s="17" t="s">
        <v>730</v>
      </c>
      <c r="F3" s="17" t="s">
        <v>754</v>
      </c>
      <c r="G3" s="22"/>
      <c r="H3" s="22"/>
      <c r="I3" s="22"/>
    </row>
    <row r="4" spans="1:9">
      <c r="A4" s="98" t="s">
        <v>783</v>
      </c>
      <c r="B4" s="17"/>
      <c r="C4" s="17" t="s">
        <v>834</v>
      </c>
      <c r="D4" s="17" t="s">
        <v>755</v>
      </c>
      <c r="E4" s="17" t="s">
        <v>731</v>
      </c>
      <c r="F4" s="17" t="s">
        <v>756</v>
      </c>
      <c r="G4" s="22"/>
      <c r="H4" s="22"/>
      <c r="I4" s="22"/>
    </row>
    <row r="5" spans="1:9">
      <c r="A5" s="98" t="s">
        <v>784</v>
      </c>
      <c r="B5" s="17"/>
      <c r="C5" s="17" t="s">
        <v>835</v>
      </c>
      <c r="D5" s="17" t="s">
        <v>757</v>
      </c>
      <c r="E5" s="17"/>
      <c r="F5" s="17" t="s">
        <v>758</v>
      </c>
      <c r="G5" s="22"/>
      <c r="H5" s="22"/>
      <c r="I5" s="22"/>
    </row>
    <row r="6" spans="1:9">
      <c r="A6" s="98" t="s">
        <v>785</v>
      </c>
      <c r="B6" s="17"/>
      <c r="C6" s="17" t="s">
        <v>836</v>
      </c>
      <c r="D6" s="17" t="s">
        <v>759</v>
      </c>
      <c r="E6" s="17"/>
      <c r="F6" s="17" t="s">
        <v>760</v>
      </c>
      <c r="G6" s="22"/>
      <c r="H6" s="22"/>
      <c r="I6" s="22"/>
    </row>
    <row r="7" spans="1:9">
      <c r="A7" s="98" t="s">
        <v>786</v>
      </c>
      <c r="B7" s="17"/>
      <c r="C7" s="17" t="s">
        <v>837</v>
      </c>
      <c r="D7" s="17" t="s">
        <v>761</v>
      </c>
      <c r="E7" s="17"/>
      <c r="F7" s="17" t="s">
        <v>762</v>
      </c>
      <c r="G7" s="22"/>
      <c r="H7" s="22"/>
      <c r="I7" s="22"/>
    </row>
    <row r="8" spans="1:9">
      <c r="A8" s="98" t="s">
        <v>787</v>
      </c>
      <c r="B8" s="17"/>
      <c r="C8" s="17"/>
      <c r="D8" s="17" t="s">
        <v>751</v>
      </c>
      <c r="E8" s="17"/>
      <c r="F8" s="17" t="s">
        <v>763</v>
      </c>
      <c r="G8" s="22"/>
      <c r="H8" s="22"/>
      <c r="I8" s="22"/>
    </row>
    <row r="9" spans="1:9">
      <c r="A9" s="98" t="s">
        <v>788</v>
      </c>
      <c r="B9" s="17"/>
      <c r="C9" s="17"/>
      <c r="D9" s="17"/>
      <c r="E9" s="17"/>
      <c r="F9" s="17"/>
      <c r="G9" s="22"/>
      <c r="H9" s="22"/>
      <c r="I9" s="22"/>
    </row>
    <row r="10" spans="1:9">
      <c r="A10" s="98" t="s">
        <v>789</v>
      </c>
      <c r="B10" s="17"/>
      <c r="C10" s="17"/>
      <c r="D10" s="17"/>
      <c r="E10" s="17"/>
      <c r="F10" s="17"/>
      <c r="G10" s="22"/>
      <c r="H10" s="22"/>
      <c r="I10" s="22"/>
    </row>
    <row r="11" spans="1:9">
      <c r="A11" s="71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4</vt:i4>
      </vt:variant>
    </vt:vector>
  </HeadingPairs>
  <TitlesOfParts>
    <vt:vector size="23" baseType="lpstr">
      <vt:lpstr>Intro</vt:lpstr>
      <vt:lpstr>a6-output</vt:lpstr>
      <vt:lpstr>debuginfo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bondmkt</vt:lpstr>
      <vt:lpstr>bucketinfo</vt:lpstr>
      <vt:lpstr>Table1</vt:lpstr>
      <vt:lpstr>Shortlisted Securities</vt:lpstr>
      <vt:lpstr>BS1</vt:lpstr>
      <vt:lpstr>BS2</vt:lpstr>
      <vt:lpstr>BS3</vt:lpstr>
      <vt:lpstr>Data</vt:lpstr>
      <vt:lpstr>curr</vt:lpstr>
      <vt:lpstr>bondmkt!ISSUEID</vt:lpstr>
      <vt:lpstr>SessionDate</vt:lpstr>
      <vt:lpstr>table1</vt:lpstr>
    </vt:vector>
  </TitlesOfParts>
  <Company>London Business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Models for AMFchapter 4</dc:title>
  <dc:creator>Mary Jackson and Mike Staunton</dc:creator>
  <cp:lastModifiedBy>Benjamin</cp:lastModifiedBy>
  <dcterms:created xsi:type="dcterms:W3CDTF">2000-09-19T17:27:05Z</dcterms:created>
  <dcterms:modified xsi:type="dcterms:W3CDTF">2021-03-13T18:05:29Z</dcterms:modified>
</cp:coreProperties>
</file>